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425" yWindow="1740" windowWidth="7530" windowHeight="10395" tabRatio="372"/>
  </bookViews>
  <sheets>
    <sheet name="LAA2LDESTD" sheetId="1" r:id="rId1"/>
    <sheet name="Revision Log" sheetId="2" r:id="rId2"/>
    <sheet name="Reference Locations" sheetId="3" r:id="rId3"/>
  </sheets>
  <definedNames>
    <definedName name="_xlnm._FilterDatabase" localSheetId="0" hidden="1">LAA2LDESTD!$A$5:$J$355</definedName>
    <definedName name="_xlnm.Print_Area" localSheetId="0">LAA2LDESTD!$A$1:$J$357</definedName>
    <definedName name="_xlnm.Print_Area" localSheetId="2">'Reference Locations'!$A$1:$C$8</definedName>
    <definedName name="_xlnm.Print_Titles" localSheetId="0">LAA2LDESTD!$1:$3</definedName>
    <definedName name="Z_711973F9_5431_4922_B46E_FFB4E07E9E58_.wvu.Cols" localSheetId="0" hidden="1">LAA2LDESTD!$L:$P</definedName>
    <definedName name="Z_711973F9_5431_4922_B46E_FFB4E07E9E58_.wvu.PrintArea" localSheetId="0" hidden="1">LAA2LDESTD!$A$2:$J$355</definedName>
    <definedName name="Z_711973F9_5431_4922_B46E_FFB4E07E9E58_.wvu.PrintTitles" localSheetId="0" hidden="1">LAA2LDESTD!$2:$3</definedName>
    <definedName name="Z_7E4D7CCA_1395_44FA_80A0_38FFA0DD8C49_.wvu.PrintTitles" localSheetId="0" hidden="1">LAA2LDESTD!$2:$3</definedName>
    <definedName name="Z_A5DDCBF3_D6F4_4EB4_918C_ECABFE1A43AD_.wvu.PrintTitles" localSheetId="0" hidden="1">LAA2LDESTD!$2:$3</definedName>
    <definedName name="Z_B792D786_3755_11D6_AB7B_0050DA2DACD5_.wvu.PrintTitles" localSheetId="0" hidden="1">LAA2LDESTD!$2:$3</definedName>
    <definedName name="Z_E34B366C_36F7_11D6_A24B_0050DA0A5BC6_.wvu.PrintTitles" localSheetId="0" hidden="1">LAA2LDESTD!$2:$3</definedName>
  </definedNames>
  <calcPr calcId="145621"/>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F5" i="1" l="1"/>
  <c r="E6" i="1"/>
  <c r="F6" i="1" s="1"/>
  <c r="E7" i="1" l="1"/>
  <c r="E8" i="1" s="1"/>
  <c r="E9" i="1" s="1"/>
  <c r="F8" i="1" l="1"/>
  <c r="F7" i="1"/>
  <c r="F9" i="1"/>
  <c r="E10" i="1"/>
  <c r="F10" i="1" l="1"/>
  <c r="E11" i="1"/>
  <c r="F11" i="1" l="1"/>
  <c r="E12" i="1"/>
  <c r="F12" i="1" l="1"/>
  <c r="E13" i="1"/>
  <c r="F13" i="1" l="1"/>
  <c r="E14" i="1"/>
  <c r="F14" i="1" l="1"/>
  <c r="E15" i="1"/>
  <c r="F15" i="1" l="1"/>
  <c r="E16" i="1"/>
  <c r="F16" i="1" l="1"/>
  <c r="E17" i="1"/>
  <c r="E18" i="1" s="1"/>
  <c r="F18" i="1" l="1"/>
  <c r="E19" i="1"/>
  <c r="F17" i="1"/>
  <c r="F19" i="1" l="1"/>
  <c r="E20" i="1"/>
  <c r="F20" i="1" l="1"/>
  <c r="E21" i="1"/>
  <c r="F21" i="1" l="1"/>
  <c r="E22" i="1"/>
  <c r="F22" i="1" l="1"/>
  <c r="E23" i="1"/>
  <c r="F23" i="1" l="1"/>
  <c r="E24" i="1"/>
  <c r="F24" i="1" l="1"/>
  <c r="E25" i="1"/>
  <c r="F25" i="1" l="1"/>
  <c r="E26" i="1"/>
  <c r="F26" i="1" l="1"/>
  <c r="E27" i="1"/>
  <c r="F27" i="1" l="1"/>
  <c r="E28" i="1"/>
  <c r="F28" i="1" l="1"/>
  <c r="E29" i="1"/>
  <c r="F29" i="1" l="1"/>
  <c r="E30" i="1"/>
  <c r="E31" i="1" l="1"/>
  <c r="F30" i="1"/>
  <c r="E32" i="1" l="1"/>
  <c r="F31" i="1"/>
  <c r="F32" i="1" l="1"/>
  <c r="E33" i="1"/>
  <c r="E34" i="1" l="1"/>
  <c r="F33" i="1"/>
  <c r="F34" i="1" l="1"/>
  <c r="E35" i="1"/>
  <c r="E36" i="1" l="1"/>
  <c r="F35" i="1"/>
  <c r="E37" i="1" l="1"/>
  <c r="F36" i="1"/>
  <c r="F37" i="1" l="1"/>
  <c r="E38" i="1"/>
  <c r="E39" i="1" l="1"/>
  <c r="F38" i="1"/>
  <c r="E40" i="1" l="1"/>
  <c r="F39" i="1"/>
  <c r="F40" i="1" l="1"/>
  <c r="E41" i="1"/>
  <c r="F41" i="1" l="1"/>
  <c r="E43" i="1"/>
  <c r="E44" i="1" l="1"/>
  <c r="F43" i="1"/>
  <c r="E45" i="1" l="1"/>
  <c r="F44" i="1"/>
  <c r="F45" i="1" l="1"/>
  <c r="E46" i="1"/>
  <c r="E47" i="1" l="1"/>
  <c r="F46" i="1"/>
  <c r="F47" i="1" l="1"/>
  <c r="E48" i="1"/>
  <c r="E49" i="1" l="1"/>
  <c r="F48" i="1"/>
  <c r="E50" i="1" l="1"/>
  <c r="F49" i="1"/>
  <c r="F50" i="1" l="1"/>
  <c r="E51" i="1"/>
  <c r="E52" i="1" l="1"/>
  <c r="F51" i="1"/>
  <c r="F52" i="1" l="1"/>
  <c r="E53" i="1"/>
  <c r="E54" i="1" l="1"/>
  <c r="F53" i="1"/>
  <c r="E55" i="1" l="1"/>
  <c r="F54" i="1"/>
  <c r="E56" i="1" l="1"/>
  <c r="F55" i="1"/>
  <c r="F56" i="1" l="1"/>
  <c r="E57" i="1"/>
  <c r="F57" i="1" l="1"/>
  <c r="E58" i="1"/>
  <c r="E59" i="1" l="1"/>
  <c r="F58" i="1"/>
  <c r="F59" i="1" l="1"/>
  <c r="E60" i="1"/>
  <c r="F60" i="1" l="1"/>
  <c r="E62" i="1"/>
  <c r="E63" i="1" l="1"/>
  <c r="F62" i="1"/>
  <c r="E64" i="1" l="1"/>
  <c r="F63" i="1"/>
  <c r="E65" i="1" l="1"/>
  <c r="F64" i="1"/>
  <c r="F65" i="1" l="1"/>
  <c r="E66" i="1"/>
  <c r="F66" i="1" l="1"/>
  <c r="E67" i="1"/>
  <c r="E68" i="1" l="1"/>
  <c r="F67" i="1"/>
  <c r="E69" i="1" l="1"/>
  <c r="F68" i="1"/>
  <c r="E70" i="1" l="1"/>
  <c r="F69" i="1"/>
  <c r="E71" i="1" l="1"/>
  <c r="F70" i="1"/>
  <c r="F71" i="1" l="1"/>
  <c r="E72" i="1"/>
  <c r="E73" i="1" l="1"/>
  <c r="F72" i="1"/>
  <c r="F73" i="1" l="1"/>
  <c r="E74" i="1"/>
  <c r="F74" i="1" l="1"/>
  <c r="E76" i="1"/>
  <c r="E77" i="1" l="1"/>
  <c r="F76" i="1"/>
  <c r="E78" i="1" l="1"/>
  <c r="F77" i="1"/>
  <c r="E79" i="1" l="1"/>
  <c r="F78" i="1"/>
  <c r="E80" i="1" l="1"/>
  <c r="F79" i="1"/>
  <c r="E81" i="1" l="1"/>
  <c r="F80" i="1"/>
  <c r="F81" i="1" l="1"/>
  <c r="E83" i="1"/>
  <c r="E84" i="1" l="1"/>
  <c r="F83" i="1"/>
  <c r="F84" i="1" l="1"/>
  <c r="E85" i="1"/>
  <c r="F85" i="1" l="1"/>
  <c r="E86" i="1"/>
  <c r="E87" i="1" l="1"/>
  <c r="F86" i="1"/>
  <c r="F87" i="1" l="1"/>
  <c r="E88" i="1"/>
  <c r="E89" i="1" l="1"/>
  <c r="F88" i="1"/>
  <c r="E90" i="1" l="1"/>
  <c r="F89" i="1"/>
  <c r="E91" i="1" l="1"/>
  <c r="F90" i="1"/>
  <c r="E92" i="1" l="1"/>
  <c r="F91" i="1"/>
  <c r="E93" i="1" l="1"/>
  <c r="F92" i="1"/>
  <c r="E94" i="1" l="1"/>
  <c r="F93" i="1"/>
  <c r="F94" i="1" l="1"/>
  <c r="E95" i="1"/>
  <c r="E96" i="1" l="1"/>
  <c r="E97" i="1" s="1"/>
  <c r="E98" i="1" s="1"/>
  <c r="F95" i="1"/>
  <c r="F96" i="1" l="1"/>
  <c r="F97" i="1" l="1"/>
  <c r="E100" i="1" l="1"/>
  <c r="F98" i="1"/>
  <c r="E118" i="1" l="1"/>
  <c r="F100" i="1"/>
  <c r="E119" i="1" l="1"/>
  <c r="F118" i="1"/>
  <c r="E120" i="1" l="1"/>
  <c r="F119" i="1"/>
  <c r="F120" i="1" l="1"/>
  <c r="E121" i="1"/>
  <c r="F121" i="1" l="1"/>
  <c r="E122" i="1"/>
  <c r="E123" i="1" l="1"/>
  <c r="F122" i="1"/>
  <c r="E124" i="1" l="1"/>
  <c r="F123" i="1"/>
  <c r="E142" i="1" l="1"/>
  <c r="F124" i="1"/>
  <c r="F142" i="1" l="1"/>
  <c r="E143" i="1"/>
  <c r="F143" i="1" l="1"/>
  <c r="E144" i="1"/>
  <c r="E145" i="1" l="1"/>
  <c r="F144" i="1"/>
  <c r="F145" i="1" l="1"/>
  <c r="E146" i="1"/>
  <c r="E147" i="1" l="1"/>
  <c r="F146" i="1"/>
  <c r="E148" i="1" l="1"/>
  <c r="F147" i="1"/>
  <c r="F148" i="1" l="1"/>
  <c r="E149" i="1"/>
  <c r="E150" i="1" l="1"/>
  <c r="F149" i="1"/>
  <c r="E151" i="1" l="1"/>
  <c r="F150" i="1"/>
  <c r="E152" i="1" l="1"/>
  <c r="F151" i="1"/>
  <c r="E155" i="1" l="1"/>
  <c r="F152" i="1"/>
  <c r="F155" i="1" l="1"/>
  <c r="E156" i="1"/>
  <c r="E157" i="1" l="1"/>
  <c r="F156" i="1"/>
  <c r="F157" i="1" l="1"/>
  <c r="E158" i="1"/>
  <c r="E159" i="1" l="1"/>
  <c r="F158" i="1"/>
  <c r="F159" i="1" l="1"/>
  <c r="E160" i="1"/>
  <c r="F160" i="1" l="1"/>
  <c r="E161" i="1"/>
  <c r="E162" i="1" l="1"/>
  <c r="F161" i="1"/>
  <c r="F162" i="1" l="1"/>
  <c r="E164" i="1"/>
  <c r="E165" i="1" l="1"/>
  <c r="F164" i="1"/>
  <c r="F165" i="1" l="1"/>
  <c r="E166" i="1"/>
  <c r="F166" i="1" l="1"/>
  <c r="E167" i="1"/>
  <c r="F167" i="1" l="1"/>
  <c r="E168" i="1"/>
  <c r="E169" i="1" l="1"/>
  <c r="F168" i="1"/>
  <c r="E171" i="1" l="1"/>
  <c r="F169" i="1"/>
  <c r="E172" i="1" l="1"/>
  <c r="F171" i="1"/>
  <c r="F172" i="1" l="1"/>
  <c r="E173" i="1"/>
  <c r="E174" i="1" l="1"/>
  <c r="F173" i="1"/>
  <c r="E175" i="1" l="1"/>
  <c r="F174" i="1"/>
  <c r="E176" i="1" l="1"/>
  <c r="F175" i="1"/>
  <c r="E177" i="1" l="1"/>
  <c r="F176" i="1"/>
  <c r="F177" i="1" l="1"/>
  <c r="E178" i="1"/>
  <c r="F178" i="1" l="1"/>
  <c r="E180" i="1"/>
  <c r="F180" i="1" l="1"/>
  <c r="E181" i="1"/>
  <c r="E182" i="1" l="1"/>
  <c r="F181" i="1"/>
  <c r="F182" i="1" l="1"/>
  <c r="E183" i="1"/>
  <c r="F183" i="1" l="1"/>
  <c r="E184" i="1"/>
  <c r="E186" i="1" l="1"/>
  <c r="F184" i="1"/>
  <c r="E187" i="1" l="1"/>
  <c r="F186" i="1"/>
  <c r="F187" i="1" l="1"/>
  <c r="E188" i="1"/>
  <c r="E189" i="1" l="1"/>
  <c r="F188" i="1"/>
  <c r="E190" i="1" l="1"/>
  <c r="F189" i="1"/>
  <c r="F190" i="1" l="1"/>
  <c r="E191" i="1"/>
  <c r="F191" i="1" l="1"/>
  <c r="E193" i="1"/>
  <c r="E194" i="1" l="1"/>
  <c r="F193" i="1"/>
  <c r="E195" i="1" l="1"/>
  <c r="F194" i="1"/>
  <c r="F195" i="1" l="1"/>
  <c r="E197" i="1"/>
  <c r="F197" i="1" l="1"/>
  <c r="E198" i="1"/>
  <c r="E199" i="1" l="1"/>
  <c r="F198" i="1"/>
  <c r="F199" i="1" l="1"/>
  <c r="E200" i="1"/>
  <c r="E201" i="1" l="1"/>
  <c r="F200" i="1"/>
  <c r="E202" i="1" l="1"/>
  <c r="F201" i="1"/>
  <c r="F202" i="1" l="1"/>
  <c r="E204" i="1"/>
  <c r="F204" i="1" l="1"/>
  <c r="E205" i="1"/>
  <c r="F205" i="1" l="1"/>
  <c r="E206" i="1"/>
  <c r="E207" i="1" l="1"/>
  <c r="F206" i="1"/>
  <c r="F207" i="1" l="1"/>
  <c r="E208" i="1"/>
  <c r="F208" i="1" l="1"/>
  <c r="E209" i="1"/>
  <c r="F209" i="1" l="1"/>
  <c r="E210" i="1"/>
  <c r="F210" i="1" l="1"/>
  <c r="E212" i="1"/>
  <c r="E213" i="1" l="1"/>
  <c r="F212" i="1"/>
  <c r="F213" i="1" l="1"/>
  <c r="E214" i="1"/>
  <c r="F214" i="1" l="1"/>
  <c r="E216" i="1"/>
  <c r="F216" i="1" l="1"/>
  <c r="E217" i="1"/>
  <c r="F217" i="1" l="1"/>
  <c r="E218" i="1"/>
  <c r="F218" i="1" l="1"/>
  <c r="E219" i="1"/>
  <c r="E220" i="1" l="1"/>
  <c r="F219" i="1"/>
  <c r="F220" i="1" l="1"/>
  <c r="E221" i="1"/>
  <c r="E223" i="1" l="1"/>
  <c r="F221" i="1"/>
  <c r="F223" i="1" l="1"/>
  <c r="E224" i="1"/>
  <c r="E225" i="1" l="1"/>
  <c r="F224" i="1"/>
  <c r="E226" i="1" l="1"/>
  <c r="F225" i="1"/>
  <c r="F226" i="1" l="1"/>
  <c r="E227" i="1"/>
  <c r="F227" i="1" l="1"/>
  <c r="E228" i="1"/>
  <c r="E230" i="1" l="1"/>
  <c r="F228" i="1"/>
  <c r="E231" i="1" l="1"/>
  <c r="F230" i="1"/>
  <c r="F231" i="1" l="1"/>
  <c r="E232" i="1"/>
  <c r="E234" i="1" l="1"/>
  <c r="F232" i="1"/>
  <c r="F234" i="1" l="1"/>
  <c r="E235" i="1"/>
  <c r="F235" i="1" l="1"/>
  <c r="E236" i="1"/>
  <c r="F236" i="1" l="1"/>
  <c r="E238" i="1"/>
  <c r="E239" i="1" l="1"/>
  <c r="F238" i="1"/>
  <c r="F239" i="1" l="1"/>
  <c r="E240" i="1"/>
  <c r="F240" i="1" l="1"/>
  <c r="E241" i="1"/>
  <c r="E242" i="1" l="1"/>
  <c r="F241" i="1"/>
  <c r="E243" i="1" l="1"/>
  <c r="F242" i="1"/>
  <c r="E245" i="1" l="1"/>
  <c r="F243" i="1"/>
  <c r="F245" i="1" l="1"/>
  <c r="E246" i="1"/>
  <c r="E247" i="1" l="1"/>
  <c r="F246" i="1"/>
  <c r="E248" i="1" l="1"/>
  <c r="F247" i="1"/>
  <c r="E249" i="1" l="1"/>
  <c r="F248" i="1"/>
  <c r="F249" i="1" l="1"/>
  <c r="E251" i="1"/>
  <c r="F251" i="1" l="1"/>
  <c r="E252" i="1"/>
  <c r="F252" i="1" l="1"/>
  <c r="E253" i="1"/>
  <c r="E256" i="1" l="1"/>
  <c r="F253" i="1"/>
  <c r="F256" i="1" l="1"/>
  <c r="E257" i="1"/>
  <c r="F257" i="1" l="1"/>
  <c r="E258" i="1"/>
  <c r="E259" i="1" l="1"/>
  <c r="E261" i="1" s="1"/>
  <c r="F258" i="1"/>
  <c r="F261" i="1" l="1"/>
  <c r="E262" i="1"/>
  <c r="F259" i="1"/>
  <c r="F262" i="1" l="1"/>
  <c r="E263" i="1"/>
  <c r="F263" i="1" l="1"/>
  <c r="E264" i="1"/>
  <c r="F264" i="1" l="1"/>
  <c r="E265" i="1"/>
  <c r="E267" i="1" l="1"/>
  <c r="F265" i="1"/>
  <c r="F267" i="1" l="1"/>
  <c r="E268" i="1"/>
  <c r="E269" i="1" l="1"/>
  <c r="F268" i="1"/>
  <c r="F269" i="1" l="1"/>
  <c r="E270" i="1"/>
  <c r="E271" i="1" l="1"/>
  <c r="F270" i="1"/>
  <c r="F271" i="1" l="1"/>
  <c r="E273" i="1"/>
  <c r="F273" i="1" l="1"/>
  <c r="E274" i="1"/>
  <c r="F274" i="1" l="1"/>
  <c r="E275" i="1"/>
  <c r="F275" i="1" l="1"/>
  <c r="E276" i="1"/>
  <c r="E277" i="1" l="1"/>
  <c r="F276" i="1"/>
  <c r="F277" i="1" l="1"/>
  <c r="E279" i="1"/>
  <c r="E280" i="1" l="1"/>
  <c r="F279" i="1"/>
  <c r="E281" i="1" l="1"/>
  <c r="F280" i="1"/>
  <c r="E282" i="1" l="1"/>
  <c r="F281" i="1"/>
  <c r="E283" i="1" l="1"/>
  <c r="F282" i="1"/>
  <c r="F283" i="1" l="1"/>
  <c r="E285" i="1"/>
  <c r="F285" i="1" l="1"/>
  <c r="E286" i="1"/>
  <c r="F286" i="1" l="1"/>
  <c r="E287" i="1"/>
  <c r="E288" i="1" l="1"/>
  <c r="F287" i="1"/>
  <c r="F288" i="1" l="1"/>
  <c r="E289" i="1"/>
  <c r="E290" i="1" l="1"/>
  <c r="F289" i="1"/>
  <c r="E291" i="1" l="1"/>
  <c r="F290" i="1"/>
  <c r="E292" i="1" l="1"/>
  <c r="F291" i="1"/>
  <c r="E294" i="1" l="1"/>
  <c r="F292" i="1"/>
  <c r="F294" i="1" l="1"/>
  <c r="E295" i="1"/>
  <c r="F295" i="1" l="1"/>
  <c r="E296" i="1"/>
  <c r="E297" i="1" l="1"/>
  <c r="F296" i="1"/>
  <c r="E298" i="1" l="1"/>
  <c r="F297" i="1"/>
  <c r="E299" i="1" l="1"/>
  <c r="F298" i="1"/>
  <c r="E300" i="1" l="1"/>
  <c r="F299" i="1"/>
  <c r="F300" i="1" l="1"/>
  <c r="E301" i="1"/>
  <c r="F301" i="1" l="1"/>
  <c r="E302" i="1"/>
  <c r="F302" i="1" l="1"/>
  <c r="E303" i="1"/>
  <c r="F303" i="1" l="1"/>
  <c r="E304" i="1"/>
  <c r="F304" i="1" l="1"/>
  <c r="E305" i="1"/>
  <c r="E306" i="1" l="1"/>
  <c r="F305" i="1"/>
  <c r="F306" i="1" l="1"/>
  <c r="E307" i="1"/>
  <c r="F307" i="1" l="1"/>
  <c r="E309" i="1"/>
  <c r="F309" i="1" l="1"/>
  <c r="E310" i="1"/>
  <c r="E311" i="1" l="1"/>
  <c r="F310" i="1"/>
  <c r="E312" i="1" l="1"/>
  <c r="F311" i="1"/>
  <c r="E313" i="1" l="1"/>
  <c r="F312" i="1"/>
  <c r="E314" i="1" l="1"/>
  <c r="E315" i="1" s="1"/>
  <c r="F313" i="1"/>
  <c r="F314" i="1" l="1"/>
  <c r="F315" i="1" l="1"/>
  <c r="E316" i="1"/>
  <c r="E317" i="1" s="1"/>
  <c r="E320" i="1" l="1"/>
  <c r="F317" i="1"/>
  <c r="F316" i="1"/>
  <c r="E321" i="1" l="1"/>
  <c r="F320" i="1"/>
  <c r="F321" i="1" l="1"/>
  <c r="E323" i="1"/>
  <c r="E324" i="1" l="1"/>
  <c r="F323" i="1"/>
  <c r="E326" i="1" l="1"/>
  <c r="F324" i="1"/>
  <c r="E327" i="1" l="1"/>
  <c r="F326" i="1"/>
  <c r="F327" i="1" l="1"/>
  <c r="E329" i="1"/>
  <c r="E331" i="1" l="1"/>
  <c r="F329" i="1"/>
  <c r="E332" i="1" l="1"/>
  <c r="F331" i="1"/>
  <c r="F332" i="1" l="1"/>
  <c r="E333" i="1"/>
  <c r="F333" i="1" l="1"/>
  <c r="E334" i="1"/>
  <c r="E335" i="1" l="1"/>
  <c r="F334" i="1"/>
  <c r="E336" i="1" l="1"/>
  <c r="F335" i="1"/>
  <c r="F336" i="1" l="1"/>
  <c r="E337" i="1"/>
  <c r="F337" i="1" l="1"/>
  <c r="E338" i="1"/>
  <c r="E339" i="1" s="1"/>
  <c r="F338" i="1" l="1"/>
  <c r="E340" i="1" l="1"/>
  <c r="F339" i="1"/>
  <c r="F340" i="1" l="1"/>
  <c r="E342" i="1"/>
  <c r="F342" i="1" l="1"/>
  <c r="E343" i="1"/>
  <c r="E344" i="1" l="1"/>
  <c r="F343" i="1"/>
  <c r="E345" i="1" l="1"/>
  <c r="F344" i="1"/>
  <c r="F345" i="1" l="1"/>
  <c r="E346" i="1"/>
  <c r="F346" i="1" l="1"/>
  <c r="E347" i="1"/>
  <c r="E348" i="1" l="1"/>
  <c r="F347" i="1"/>
  <c r="F348" i="1" l="1"/>
  <c r="E349" i="1"/>
  <c r="E351" i="1" l="1"/>
  <c r="F349" i="1"/>
  <c r="F351" i="1" l="1"/>
  <c r="E352" i="1"/>
  <c r="F352" i="1" l="1"/>
  <c r="E353" i="1"/>
  <c r="F353" i="1" l="1"/>
  <c r="E354" i="1"/>
  <c r="E355" i="1" l="1"/>
  <c r="F355" i="1" s="1"/>
  <c r="F357" i="1" s="1"/>
  <c r="F354" i="1"/>
</calcChain>
</file>

<file path=xl/sharedStrings.xml><?xml version="1.0" encoding="utf-8"?>
<sst xmlns="http://schemas.openxmlformats.org/spreadsheetml/2006/main" count="1958" uniqueCount="759">
  <si>
    <t>Y = LEP
N = Not LEP</t>
  </si>
  <si>
    <t>STUDENT LEVEL REPORTING FLAGS</t>
  </si>
  <si>
    <t>FOOTNOTE FLAGS BY SUBJECT - ELA</t>
  </si>
  <si>
    <t>FOOTNOTE FLAGS BY SUBJECT - MATH</t>
  </si>
  <si>
    <t>FOOTNOTE FLAGS BY SUBJECT - SCIENCE</t>
  </si>
  <si>
    <t>FOOTNOTE FLAGS BY SUBJECT - SOCIAL STUDIES</t>
  </si>
  <si>
    <t>Length</t>
  </si>
  <si>
    <t>Field Name</t>
  </si>
  <si>
    <t>Month of test</t>
  </si>
  <si>
    <t>Year of test</t>
  </si>
  <si>
    <t>MATH SCORING INFORMATION</t>
  </si>
  <si>
    <t>SCIENCE SCORING INFORMATION</t>
  </si>
  <si>
    <t>SOCIAL STUDIES SCORING INFORMATION</t>
  </si>
  <si>
    <t>Y</t>
  </si>
  <si>
    <t>N</t>
  </si>
  <si>
    <t>Date the file was generated</t>
  </si>
  <si>
    <t>As bubbled on the answer document.</t>
  </si>
  <si>
    <t>Processing/Reporting Section</t>
  </si>
  <si>
    <t xml:space="preserve">  </t>
  </si>
  <si>
    <t xml:space="preserve">SCAN INFORMATION </t>
  </si>
  <si>
    <t>Summarization Flags</t>
  </si>
  <si>
    <t>Indicates whether a document was returned and whether it was manually completed for demographics or precoded with student label.</t>
  </si>
  <si>
    <t>ASSESSMENT ROLLUP AND INCLUSION FLAGS</t>
  </si>
  <si>
    <t xml:space="preserve"> Multiple Choice / Constructed Response Items Taken (attempted) Flag</t>
  </si>
  <si>
    <t>Format:  "YYYY-MM-DD HH:MM:SS"</t>
  </si>
  <si>
    <t>The 3-position text representation of School Type.</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</si>
  <si>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</si>
  <si>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</si>
  <si>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</si>
  <si>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</si>
  <si>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Value of "Y" will only appear in the final LDESTD file.</t>
  </si>
  <si>
    <t>Debbie Williams</t>
  </si>
  <si>
    <t>Summarized LEP Status</t>
  </si>
  <si>
    <t>Unique number generated at the time the student record is converted into our Student File.  (Starts over each administration.)   Numeric value with leading zeroes.</t>
  </si>
  <si>
    <t>000000-999999</t>
  </si>
  <si>
    <t>Assess Group Type</t>
  </si>
  <si>
    <t>Summarized Migrant Status</t>
  </si>
  <si>
    <t>Shar Hall</t>
  </si>
  <si>
    <t>Dave Rowles</t>
  </si>
  <si>
    <t>Field Use</t>
  </si>
  <si>
    <t>Starting Location</t>
  </si>
  <si>
    <t>Ending Location</t>
  </si>
  <si>
    <t xml:space="preserve">Possible Values </t>
  </si>
  <si>
    <t>Description/Comments</t>
  </si>
  <si>
    <t>District Code</t>
  </si>
  <si>
    <t>School Code</t>
  </si>
  <si>
    <t>District Name</t>
  </si>
  <si>
    <t>School Name</t>
  </si>
  <si>
    <t>Summarized Grade</t>
  </si>
  <si>
    <t>State ID</t>
  </si>
  <si>
    <t>Barcode/Student Precode Number</t>
  </si>
  <si>
    <t>Summarized Gender</t>
  </si>
  <si>
    <t>Bubbled Lunch Status</t>
  </si>
  <si>
    <t>LAP Option Code</t>
  </si>
  <si>
    <t>LAP Gender</t>
  </si>
  <si>
    <t>LAP March Update Flag</t>
  </si>
  <si>
    <t>Test Date Month</t>
  </si>
  <si>
    <t>Test Date Year</t>
  </si>
  <si>
    <t xml:space="preserve">Straggler </t>
  </si>
  <si>
    <t>Student Last Name</t>
  </si>
  <si>
    <t>Student First Name</t>
  </si>
  <si>
    <t>Student Middle Initial</t>
  </si>
  <si>
    <t>Summarized DOB Month</t>
  </si>
  <si>
    <t>Summarized DOB Day</t>
  </si>
  <si>
    <t>Summarized DOB Year</t>
  </si>
  <si>
    <t>Document Grade</t>
  </si>
  <si>
    <t>Bubbled Gender</t>
  </si>
  <si>
    <t>Autism</t>
  </si>
  <si>
    <t>Deafblindness</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</si>
  <si>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</si>
  <si>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</si>
  <si>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</si>
  <si>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</si>
  <si>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</si>
  <si>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</si>
  <si>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</si>
  <si>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</si>
  <si>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</si>
  <si>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</si>
  <si>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 xml:space="preserve">Traumatic Brain Injury        </t>
  </si>
  <si>
    <t>Visual Impairment</t>
  </si>
  <si>
    <t xml:space="preserve">Severe Mental Disability                                                                                                                                                                                                                                                                                                                                                              </t>
  </si>
  <si>
    <t>Bubbled Special Ed Test Accommodations</t>
  </si>
  <si>
    <t>No Accommodations</t>
  </si>
  <si>
    <t>Braille</t>
  </si>
  <si>
    <t>Large Print</t>
  </si>
  <si>
    <t>Answers Recorded</t>
  </si>
  <si>
    <t>Assistive Technology</t>
  </si>
  <si>
    <t>Extended Time</t>
  </si>
  <si>
    <t>Communication Assistance</t>
  </si>
  <si>
    <t>Transferred Answers</t>
  </si>
  <si>
    <t>Individual/Small Group Administration</t>
  </si>
  <si>
    <t>Tests Read Aloud</t>
  </si>
  <si>
    <t>Other</t>
  </si>
  <si>
    <t>Bubbled LEP Test Accommodations</t>
  </si>
  <si>
    <t>Bubbled Migrant Status</t>
  </si>
  <si>
    <t>Bubbled Optional Local Use</t>
  </si>
  <si>
    <t>Bubbled Special Education Exceptionality Category</t>
  </si>
  <si>
    <t>Summarized Special Education Exceptionality Category</t>
  </si>
  <si>
    <t>03 =  Autism</t>
  </si>
  <si>
    <t>04 = Deafblindness</t>
  </si>
  <si>
    <t>05 = Developmental Delay</t>
  </si>
  <si>
    <t>06 = Emotional Disturbance</t>
  </si>
  <si>
    <t>07 = HI-Deaf</t>
  </si>
  <si>
    <t>08 = HI-Hard of Hearing</t>
  </si>
  <si>
    <t>09 = Mild Mental Disability</t>
  </si>
  <si>
    <t>10 = Moderate Mental Disability</t>
  </si>
  <si>
    <t>11 = Orthopedic Impairment</t>
  </si>
  <si>
    <t>12 = Other Health Impairment</t>
  </si>
  <si>
    <t>13 = Specific Learning Disability</t>
  </si>
  <si>
    <t>14 = Speech or Language Impairment</t>
  </si>
  <si>
    <t xml:space="preserve">15 = Traumatic Brain Injury        </t>
  </si>
  <si>
    <t>16 = Visual Impairment</t>
  </si>
  <si>
    <t xml:space="preserve">20 = Severe Mental Disability          </t>
  </si>
  <si>
    <t>English Language Arts Item Responses</t>
  </si>
  <si>
    <t>Math Item Responses</t>
  </si>
  <si>
    <t>Science Item Responses</t>
  </si>
  <si>
    <t>Social Studies Item Responses</t>
  </si>
  <si>
    <t>Standard Error of Measurement of ELA</t>
  </si>
  <si>
    <t>Raw Score for Each Content Standard</t>
  </si>
  <si>
    <t>Raw Score for Each Subtest</t>
  </si>
  <si>
    <t>Raw Scores for Writing</t>
  </si>
  <si>
    <t>Total Score for Writing</t>
  </si>
  <si>
    <t>Raw Score for Item Type</t>
  </si>
  <si>
    <t>Multiple-Choice Items</t>
  </si>
  <si>
    <t xml:space="preserve">Constructed-Response Items </t>
  </si>
  <si>
    <t>Standard Error of Measurement of Math</t>
  </si>
  <si>
    <t xml:space="preserve">Subtest 2: Constructed-Response Items
</t>
  </si>
  <si>
    <t>Standard Error of Measurement of Science</t>
  </si>
  <si>
    <t xml:space="preserve">Subtest 1: Multiple-Choice Items
</t>
  </si>
  <si>
    <t>Standard Error of Measurement of Social Studies</t>
  </si>
  <si>
    <t>Test Taken Flag</t>
  </si>
  <si>
    <t>Rollup to State</t>
  </si>
  <si>
    <t>Summarize to Assessment Group Code for district level reporting</t>
  </si>
  <si>
    <t>Schools summarized to LEA Code for district level reporting</t>
  </si>
  <si>
    <t>District reports go to district</t>
  </si>
  <si>
    <t>District report goes to LDE</t>
  </si>
  <si>
    <t>Cleanup reports</t>
  </si>
  <si>
    <t>Summary Reports</t>
  </si>
  <si>
    <t>Roster Reports</t>
  </si>
  <si>
    <t>Student Labels</t>
  </si>
  <si>
    <t xml:space="preserve">Student Label </t>
  </si>
  <si>
    <t>FOOTNOTES ON REPORTS</t>
  </si>
  <si>
    <t xml:space="preserve">Summarized District Number/Code </t>
  </si>
  <si>
    <t>Document Type Returned</t>
  </si>
  <si>
    <t>Batch Number</t>
  </si>
  <si>
    <t>Lithocode</t>
  </si>
  <si>
    <t>DRC Unique Student ID</t>
  </si>
  <si>
    <t>Security Barcode Number</t>
  </si>
  <si>
    <t>File Creation Date and Time Stamp</t>
  </si>
  <si>
    <t>K, E</t>
  </si>
  <si>
    <t>E</t>
  </si>
  <si>
    <t>Record Length:</t>
  </si>
  <si>
    <t>ACCOUNTABILITY INFORMATION</t>
  </si>
  <si>
    <t>RESPONSE SECTION</t>
  </si>
  <si>
    <t>Student Item Response by Subject</t>
  </si>
  <si>
    <t>Summarized Void Flag</t>
  </si>
  <si>
    <t>Plagiarism Void Flag</t>
  </si>
  <si>
    <t xml:space="preserve">18 = Multiple Disabilities         </t>
  </si>
  <si>
    <t>00.0 - 04.0
Blank</t>
  </si>
  <si>
    <t>00.0 - 99.5
Blank</t>
  </si>
  <si>
    <t>000.0 - 008.0
Blank</t>
  </si>
  <si>
    <t>00.0 - 99.9
Blank</t>
  </si>
  <si>
    <t>000.0 - 999.5
Blank</t>
  </si>
  <si>
    <t>000.0 - 999.9
Blank</t>
  </si>
  <si>
    <t>100 - 340 
Blank</t>
  </si>
  <si>
    <t>Admin.</t>
  </si>
  <si>
    <t xml:space="preserve">O </t>
  </si>
  <si>
    <t>O</t>
  </si>
  <si>
    <t>Bubbled Attended ELA Remediation</t>
  </si>
  <si>
    <t>Bubbled Attended Math Remediation</t>
  </si>
  <si>
    <t>Bubbled Attended Science Remediation</t>
  </si>
  <si>
    <t>Bubbled Attended Social Studies Remediation</t>
  </si>
  <si>
    <t>Breanna Squire</t>
  </si>
  <si>
    <t>O, S, F</t>
  </si>
  <si>
    <r>
      <rPr>
        <b/>
        <sz val="10"/>
        <rFont val="Arial"/>
        <family val="2"/>
      </rPr>
      <t xml:space="preserve">(Summer) </t>
    </r>
    <r>
      <rPr>
        <sz val="10"/>
        <rFont val="Arial"/>
        <family val="2"/>
      </rPr>
      <t xml:space="preserve"> Updated Positions 1-2 Admin Month to show the possible values for Spring and Summer.</t>
    </r>
  </si>
  <si>
    <r>
      <rPr>
        <b/>
        <sz val="10"/>
        <rFont val="Arial"/>
        <family val="2"/>
      </rPr>
      <t>(Summer)</t>
    </r>
    <r>
      <rPr>
        <sz val="10"/>
        <rFont val="Arial"/>
        <family val="2"/>
      </rPr>
      <t xml:space="preserve">  Updated Positions 2051-2059 Updated Accountability Code fields to have a note that in a retest, the field could be updated with an 86 if applied by DRC.  Changed the Admin. Column to O, S.</t>
    </r>
  </si>
  <si>
    <r>
      <rPr>
        <b/>
        <sz val="10"/>
        <rFont val="Arial"/>
        <family val="2"/>
      </rPr>
      <t>(Summer)</t>
    </r>
    <r>
      <rPr>
        <sz val="10"/>
        <rFont val="Arial"/>
        <family val="2"/>
      </rPr>
      <t xml:space="preserve"> Removed 'K' from the Raw Score Total fields as these fields are not used in the Key Verification check.</t>
    </r>
  </si>
  <si>
    <r>
      <rPr>
        <b/>
        <sz val="10"/>
        <rFont val="Arial"/>
        <family val="2"/>
      </rPr>
      <t>(Summer)</t>
    </r>
    <r>
      <rPr>
        <sz val="10"/>
        <rFont val="Arial"/>
        <family val="2"/>
      </rPr>
      <t xml:space="preserve"> Added a note to the Barcode/Student Precode Number to show that in the Summer Retest, there will only be "L" values.</t>
    </r>
  </si>
  <si>
    <r>
      <rPr>
        <b/>
        <sz val="10"/>
        <rFont val="Arial"/>
        <family val="2"/>
      </rPr>
      <t>(Summer)</t>
    </r>
    <r>
      <rPr>
        <sz val="10"/>
        <rFont val="Arial"/>
        <family val="2"/>
      </rPr>
      <t xml:space="preserve"> Added note that only Grade 10 and 11 are valid for the Summarized Grade and Document Grade fields.</t>
    </r>
  </si>
  <si>
    <r>
      <rPr>
        <b/>
        <sz val="10"/>
        <rFont val="Arial"/>
        <family val="2"/>
      </rPr>
      <t>(Summer)</t>
    </r>
    <r>
      <rPr>
        <sz val="10"/>
        <rFont val="Arial"/>
        <family val="2"/>
      </rPr>
      <t xml:space="preserve"> Updated footer to include Key for Admin. Column.</t>
    </r>
  </si>
  <si>
    <r>
      <rPr>
        <b/>
        <sz val="10"/>
        <rFont val="Arial"/>
        <family val="2"/>
      </rPr>
      <t>(Summer)</t>
    </r>
    <r>
      <rPr>
        <sz val="10"/>
        <rFont val="Arial"/>
        <family val="2"/>
      </rPr>
      <t xml:space="preserve"> Added 'Admin.' column to denote which fields are used in each admin.</t>
    </r>
  </si>
  <si>
    <r>
      <rPr>
        <b/>
        <sz val="10"/>
        <rFont val="Arial"/>
        <family val="2"/>
      </rPr>
      <t>(Summer)</t>
    </r>
    <r>
      <rPr>
        <sz val="10"/>
        <rFont val="Arial"/>
        <family val="2"/>
      </rPr>
      <t xml:space="preserve"> Changed Filler length from 5 to 1 in position 314.</t>
    </r>
  </si>
  <si>
    <r>
      <rPr>
        <b/>
        <sz val="10"/>
        <rFont val="Arial"/>
        <family val="2"/>
      </rPr>
      <t xml:space="preserve">(Summer) </t>
    </r>
    <r>
      <rPr>
        <sz val="10"/>
        <rFont val="Arial"/>
        <family val="2"/>
      </rPr>
      <t xml:space="preserve">Added positions 310-313 for Bubbled Attended Remediation fields by subject.  </t>
    </r>
  </si>
  <si>
    <r>
      <rPr>
        <b/>
        <sz val="10"/>
        <rFont val="Arial"/>
        <family val="2"/>
      </rPr>
      <t xml:space="preserve">(Spring) </t>
    </r>
    <r>
      <rPr>
        <sz val="10"/>
        <rFont val="Arial"/>
        <family val="2"/>
      </rPr>
      <t>Updated Sitecode is changed to Filler as no longer needed for OCS.  (Pos 2059-2064)</t>
    </r>
  </si>
  <si>
    <r>
      <rPr>
        <b/>
        <sz val="10"/>
        <rFont val="Arial"/>
        <family val="2"/>
      </rPr>
      <t xml:space="preserve">(Spring) </t>
    </r>
    <r>
      <rPr>
        <sz val="10"/>
        <rFont val="Arial"/>
        <family val="2"/>
      </rPr>
      <t>New Bubbled Values added for Previously Attempted Tests  (Pos 177 - ELA/MTH) (Pos 178 SCI/SOC)</t>
    </r>
  </si>
  <si>
    <r>
      <rPr>
        <b/>
        <sz val="10"/>
        <rFont val="Arial"/>
        <family val="2"/>
      </rPr>
      <t xml:space="preserve">(Spring) </t>
    </r>
    <r>
      <rPr>
        <sz val="10"/>
        <rFont val="Arial"/>
        <family val="2"/>
      </rPr>
      <t xml:space="preserve">Updated Raw Score Total fields to show that the value will be zero (000.0) on the Equating file when handscoring is not complete for the subject. (Pos 1504-1508, 1708-1712, 1776-1780, 1863-1867)  </t>
    </r>
  </si>
  <si>
    <r>
      <rPr>
        <b/>
        <sz val="10"/>
        <rFont val="Arial"/>
        <family val="2"/>
      </rPr>
      <t>(Spring)</t>
    </r>
    <r>
      <rPr>
        <sz val="10"/>
        <rFont val="Arial"/>
        <family val="2"/>
      </rPr>
      <t xml:space="preserve"> Added possible value of "3 = LEP current year &amp; blank = not in SIS prior 2" to (Pos 161).  </t>
    </r>
  </si>
  <si>
    <r>
      <rPr>
        <b/>
        <sz val="10"/>
        <rFont val="Arial"/>
        <family val="2"/>
      </rPr>
      <t>(Spring)</t>
    </r>
    <r>
      <rPr>
        <sz val="10"/>
        <rFont val="Arial"/>
        <family val="2"/>
      </rPr>
      <t xml:space="preserve"> Removed possible value of "03 = LEP but passed first parts of ELDA" from (Pos159-160). </t>
    </r>
  </si>
  <si>
    <r>
      <rPr>
        <b/>
        <sz val="10"/>
        <rFont val="Arial"/>
        <family val="2"/>
      </rPr>
      <t xml:space="preserve">(Spring) </t>
    </r>
    <r>
      <rPr>
        <sz val="10"/>
        <rFont val="Arial"/>
        <family val="2"/>
      </rPr>
      <t>Clarified Bubbled Accountability Code possible value of '2 digit number' as '0-9, -, or * in each position' and also added '--' as a possible value for positions 299-300.</t>
    </r>
  </si>
  <si>
    <r>
      <rPr>
        <b/>
        <sz val="10"/>
        <rFont val="Arial"/>
        <family val="2"/>
      </rPr>
      <t xml:space="preserve">(Spring) </t>
    </r>
    <r>
      <rPr>
        <sz val="10"/>
        <rFont val="Arial"/>
        <family val="2"/>
      </rPr>
      <t xml:space="preserve">Updated to show that "B" will be included in the Item Response String when a "B" (blank, individual CR Item not attempted) value is returned from handscoring.  Previously we passed blank.  Positions 334-1498.  </t>
    </r>
  </si>
  <si>
    <r>
      <rPr>
        <b/>
        <sz val="10"/>
        <rFont val="Arial"/>
        <family val="2"/>
      </rPr>
      <t>(Spring)</t>
    </r>
    <r>
      <rPr>
        <sz val="10"/>
        <rFont val="Arial"/>
        <family val="2"/>
      </rPr>
      <t xml:space="preserve"> Removed (Pos 136-144), LA Generated ID and changed to Filler . </t>
    </r>
  </si>
  <si>
    <r>
      <rPr>
        <b/>
        <sz val="10"/>
        <rFont val="Arial"/>
        <family val="2"/>
      </rPr>
      <t>(Spring)</t>
    </r>
    <r>
      <rPr>
        <sz val="10"/>
        <rFont val="Arial"/>
        <family val="2"/>
      </rPr>
      <t xml:space="preserve"> Updated the Raw Score for Each Content Standard for each subject to show that if there are no points possible the value will be blank.  </t>
    </r>
  </si>
  <si>
    <r>
      <rPr>
        <b/>
        <sz val="10"/>
        <rFont val="Arial"/>
        <family val="2"/>
      </rPr>
      <t>(Spring)</t>
    </r>
    <r>
      <rPr>
        <sz val="10"/>
        <rFont val="Arial"/>
        <family val="2"/>
      </rPr>
      <t xml:space="preserve"> Updated LAP Option Code  (Pos 163) to show that "4" is a new value for Career Diploma Pathway/Track.</t>
    </r>
  </si>
  <si>
    <r>
      <rPr>
        <b/>
        <sz val="10"/>
        <rFont val="Arial"/>
        <family val="2"/>
      </rPr>
      <t>(Spring)</t>
    </r>
    <r>
      <rPr>
        <sz val="10"/>
        <rFont val="Arial"/>
        <family val="2"/>
      </rPr>
      <t xml:space="preserve"> Updated the Scoring Information for each subject to further clarify the possible values for Raw Score, Scale Score, Standard Error of Measure, Upper bound scale score, Lower bound scale score, and Achievement Level.</t>
    </r>
  </si>
  <si>
    <r>
      <rPr>
        <b/>
        <sz val="10"/>
        <rFont val="Arial"/>
        <family val="2"/>
      </rPr>
      <t xml:space="preserve">(Spring) </t>
    </r>
    <r>
      <rPr>
        <sz val="10"/>
        <rFont val="Arial"/>
        <family val="2"/>
      </rPr>
      <t>Updated Student Item Response Strings (Pos 334-1503) to further clarify the possible values.</t>
    </r>
  </si>
  <si>
    <r>
      <rPr>
        <b/>
        <sz val="10"/>
        <rFont val="Arial"/>
        <family val="2"/>
      </rPr>
      <t>(Spring)</t>
    </r>
    <r>
      <rPr>
        <sz val="10"/>
        <rFont val="Arial"/>
        <family val="2"/>
      </rPr>
      <t xml:space="preserve"> Updated 2051-2058 to reference the Processing Rules - Materials and Scoring document for valid Accountability Code values.</t>
    </r>
  </si>
  <si>
    <r>
      <rPr>
        <b/>
        <sz val="10"/>
        <rFont val="Arial"/>
        <family val="2"/>
      </rPr>
      <t xml:space="preserve">(Spring) </t>
    </r>
    <r>
      <rPr>
        <sz val="10"/>
        <rFont val="Arial"/>
        <family val="2"/>
      </rPr>
      <t>Added additional detail to the descrption/comments column for Student Last and First Name (Pos 96-115) that "*", "-", and "_" values are changed to spaces, and then the spaces are removed by compressing the values from the name fields.</t>
    </r>
  </si>
  <si>
    <r>
      <rPr>
        <b/>
        <sz val="10"/>
        <rFont val="Arial"/>
        <family val="2"/>
      </rPr>
      <t>(Spring)</t>
    </r>
    <r>
      <rPr>
        <sz val="10"/>
        <rFont val="Arial"/>
        <family val="2"/>
      </rPr>
      <t xml:space="preserve"> Added possible values and detail to the description/comments column for State ID (Pos 117-125)  that "*" and " " values are changed to "-".</t>
    </r>
  </si>
  <si>
    <r>
      <rPr>
        <b/>
        <sz val="10"/>
        <rFont val="Arial"/>
        <family val="2"/>
      </rPr>
      <t>(Spring)</t>
    </r>
    <r>
      <rPr>
        <sz val="10"/>
        <rFont val="Arial"/>
        <family val="2"/>
      </rPr>
      <t xml:space="preserve"> Added additional detail to the description/comments column for  Summarized DOB Month, Day, Year (Pos 145-152) that "*" and " " values are changed to "-".</t>
    </r>
  </si>
  <si>
    <r>
      <rPr>
        <b/>
        <sz val="10"/>
        <rFont val="Arial"/>
        <family val="2"/>
      </rPr>
      <t xml:space="preserve">(Spring) </t>
    </r>
    <r>
      <rPr>
        <sz val="10"/>
        <rFont val="Arial"/>
        <family val="2"/>
      </rPr>
      <t>Updated  (Pos 2123-2128) to show that DRC Unique ID value is included on all version of the LDESTD file;  added K and E to Field Use column.</t>
    </r>
  </si>
  <si>
    <r>
      <rPr>
        <b/>
        <sz val="10"/>
        <rFont val="Arial"/>
        <family val="2"/>
      </rPr>
      <t xml:space="preserve">(Spring) </t>
    </r>
    <r>
      <rPr>
        <sz val="10"/>
        <rFont val="Arial"/>
        <family val="2"/>
      </rPr>
      <t>Defined clearer possible values for Bubbled Routing Site Code (Pos 301-306)</t>
    </r>
  </si>
  <si>
    <r>
      <rPr>
        <b/>
        <sz val="10"/>
        <rFont val="Arial"/>
        <family val="2"/>
      </rPr>
      <t xml:space="preserve">(Spring) </t>
    </r>
    <r>
      <rPr>
        <sz val="10"/>
        <rFont val="Arial"/>
        <family val="2"/>
      </rPr>
      <t>Change Summarized Special Education Exceptionality Category Pos 308-309 to change description of "99" to be Unknown (Multiple Responses)</t>
    </r>
  </si>
  <si>
    <r>
      <rPr>
        <b/>
        <sz val="10"/>
        <rFont val="Arial"/>
        <family val="2"/>
      </rPr>
      <t xml:space="preserve">(Spring) </t>
    </r>
    <r>
      <rPr>
        <sz val="10"/>
        <rFont val="Arial"/>
        <family val="2"/>
      </rPr>
      <t>Changesto K (Key Verification) in Field Use column.  1524-1551,1560-1575, 1584-1591, 1613-1617, 1648-1651, 1728-1751, 1761-1764, 1796-1815, 1828-1835, 1848-1851, 1883-1898, 1919-1922</t>
    </r>
  </si>
  <si>
    <r>
      <rPr>
        <b/>
        <sz val="10"/>
        <rFont val="Arial"/>
        <family val="2"/>
      </rPr>
      <t>(Spring)</t>
    </r>
    <r>
      <rPr>
        <sz val="10"/>
        <rFont val="Arial"/>
        <family val="2"/>
      </rPr>
      <t xml:space="preserve"> Added new RSD abbreviations to Assess Group Codes (pos 1988-1989)</t>
    </r>
  </si>
  <si>
    <r>
      <rPr>
        <b/>
        <sz val="10"/>
        <rFont val="Arial"/>
        <family val="2"/>
      </rPr>
      <t xml:space="preserve">(Spring) </t>
    </r>
    <r>
      <rPr>
        <sz val="10"/>
        <rFont val="Arial"/>
        <family val="2"/>
      </rPr>
      <t>Added "Bubbled" to Bubbled Accountability  (pos 299-300) and Bubbled Routing (pos 301-306)</t>
    </r>
  </si>
  <si>
    <r>
      <rPr>
        <b/>
        <sz val="10"/>
        <rFont val="Arial"/>
        <family val="2"/>
      </rPr>
      <t xml:space="preserve">(Spring) </t>
    </r>
    <r>
      <rPr>
        <sz val="10"/>
        <rFont val="Arial"/>
        <family val="2"/>
      </rPr>
      <t>Added '99' = mults to Summarized Exceptionality Category field (pos 308-309) and removed "17" to match the change to processing logic for 2009</t>
    </r>
  </si>
  <si>
    <r>
      <rPr>
        <b/>
        <sz val="10"/>
        <rFont val="Arial"/>
        <family val="2"/>
      </rPr>
      <t>(Spring)</t>
    </r>
    <r>
      <rPr>
        <sz val="10"/>
        <rFont val="Arial"/>
        <family val="2"/>
      </rPr>
      <t xml:space="preserve"> Add Lap Grade (pos  174-175)</t>
    </r>
  </si>
  <si>
    <r>
      <rPr>
        <b/>
        <sz val="10"/>
        <rFont val="Arial"/>
        <family val="2"/>
      </rPr>
      <t>(Spring)</t>
    </r>
    <r>
      <rPr>
        <sz val="10"/>
        <rFont val="Arial"/>
        <family val="2"/>
      </rPr>
      <t xml:space="preserve"> Add "E" for equating to Field Use for Include in N Count (pos1970-1973) and Rollup to State (Pos 1996)</t>
    </r>
  </si>
  <si>
    <r>
      <rPr>
        <b/>
        <sz val="10"/>
        <rFont val="Arial"/>
        <family val="2"/>
      </rPr>
      <t>(Spring)</t>
    </r>
    <r>
      <rPr>
        <sz val="10"/>
        <rFont val="Arial"/>
        <family val="2"/>
      </rPr>
      <t xml:space="preserve"> Clarified titles "Summarized Void Flag" and "Plagiarism Void Flag" </t>
    </r>
  </si>
  <si>
    <r>
      <rPr>
        <b/>
        <sz val="10"/>
        <rFont val="Arial"/>
        <family val="2"/>
      </rPr>
      <t>(Spring)</t>
    </r>
    <r>
      <rPr>
        <sz val="10"/>
        <rFont val="Arial"/>
        <family val="2"/>
      </rPr>
      <t xml:space="preserve"> Added a new note to the Summarized Void Flag fields (pos 1100-1100)</t>
    </r>
  </si>
  <si>
    <r>
      <rPr>
        <b/>
        <sz val="10"/>
        <rFont val="Arial"/>
        <family val="2"/>
      </rPr>
      <t>(Spring)</t>
    </r>
    <r>
      <rPr>
        <sz val="10"/>
        <rFont val="Arial"/>
        <family val="2"/>
      </rPr>
      <t xml:space="preserve"> Mark "K" and "E" fields used by PS to new column "Field Use"</t>
    </r>
  </si>
  <si>
    <r>
      <rPr>
        <b/>
        <sz val="10"/>
        <rFont val="Arial"/>
        <family val="2"/>
      </rPr>
      <t xml:space="preserve">(Spring) </t>
    </r>
    <r>
      <rPr>
        <sz val="10"/>
        <rFont val="Arial"/>
        <family val="2"/>
      </rPr>
      <t>Bubbled Enrolled Grade has been replaced with Bubbled PreGED/Skills (Pos 168)</t>
    </r>
  </si>
  <si>
    <r>
      <rPr>
        <b/>
        <sz val="10"/>
        <rFont val="Arial"/>
        <family val="2"/>
      </rPr>
      <t>(Spring)</t>
    </r>
    <r>
      <rPr>
        <sz val="10"/>
        <rFont val="Arial"/>
        <family val="2"/>
      </rPr>
      <t xml:space="preserve"> Add new field for Document Grade (Pos 170-171)</t>
    </r>
  </si>
  <si>
    <r>
      <rPr>
        <b/>
        <sz val="10"/>
        <rFont val="Arial"/>
        <family val="2"/>
      </rPr>
      <t xml:space="preserve">(Spring) </t>
    </r>
    <r>
      <rPr>
        <sz val="10"/>
        <rFont val="Arial"/>
        <family val="2"/>
      </rPr>
      <t>Add new field for Bubbled Ethnicity (Pos 173)</t>
    </r>
  </si>
  <si>
    <r>
      <rPr>
        <b/>
        <sz val="10"/>
        <rFont val="Arial"/>
        <family val="2"/>
      </rPr>
      <t>(Spring)</t>
    </r>
    <r>
      <rPr>
        <sz val="10"/>
        <rFont val="Arial"/>
        <family val="2"/>
      </rPr>
      <t xml:space="preserve"> Add new field for Bubbled Gender (Pos172)</t>
    </r>
  </si>
  <si>
    <r>
      <rPr>
        <b/>
        <sz val="10"/>
        <rFont val="Arial"/>
        <family val="2"/>
      </rPr>
      <t xml:space="preserve">(Spring) </t>
    </r>
    <r>
      <rPr>
        <sz val="10"/>
        <rFont val="Arial"/>
        <family val="2"/>
      </rPr>
      <t>Add "NPS" (Nonpublic Scholarship) as possible value in Assess Group Type (Pos 1988-1989)</t>
    </r>
  </si>
  <si>
    <r>
      <rPr>
        <b/>
        <sz val="10"/>
        <rFont val="Arial"/>
        <family val="2"/>
      </rPr>
      <t>(Spring)</t>
    </r>
    <r>
      <rPr>
        <sz val="10"/>
        <rFont val="Arial"/>
        <family val="2"/>
      </rPr>
      <t xml:space="preserve"> Change "OYD" to "OJJ" (Office of Juvenile Justice) in Assess Group Type (Pos 1988-1989) </t>
    </r>
  </si>
  <si>
    <r>
      <rPr>
        <b/>
        <sz val="10"/>
        <rFont val="Arial"/>
        <family val="2"/>
      </rPr>
      <t xml:space="preserve">(Spring) </t>
    </r>
    <r>
      <rPr>
        <sz val="10"/>
        <rFont val="Arial"/>
        <family val="2"/>
      </rPr>
      <t>Add new field for LAP Homeless Flag (Pos 167)</t>
    </r>
  </si>
  <si>
    <r>
      <rPr>
        <b/>
        <sz val="10"/>
        <rFont val="Arial"/>
        <family val="2"/>
      </rPr>
      <t xml:space="preserve">(Spring) </t>
    </r>
    <r>
      <rPr>
        <sz val="10"/>
        <rFont val="Arial"/>
        <family val="2"/>
      </rPr>
      <t>The layout and format of the LDESTD file has been updated</t>
    </r>
  </si>
  <si>
    <r>
      <rPr>
        <b/>
        <sz val="10"/>
        <rFont val="Arial"/>
        <family val="2"/>
      </rPr>
      <t xml:space="preserve">(Spring) </t>
    </r>
    <r>
      <rPr>
        <sz val="10"/>
        <rFont val="Arial"/>
        <family val="2"/>
      </rPr>
      <t>Position 166 - Research and Simple File are changed to N to be consistent  with other admins.</t>
    </r>
  </si>
  <si>
    <r>
      <rPr>
        <b/>
        <sz val="10"/>
        <rFont val="Arial"/>
        <family val="2"/>
      </rPr>
      <t xml:space="preserve">(Spring) </t>
    </r>
    <r>
      <rPr>
        <sz val="10"/>
        <rFont val="Arial"/>
        <family val="2"/>
      </rPr>
      <t>Homeschool is not used in LAA 2.  Remove Homeschool Flag (pos. 1990) and replace with filler</t>
    </r>
  </si>
  <si>
    <r>
      <rPr>
        <b/>
        <sz val="10"/>
        <rFont val="Arial"/>
        <family val="2"/>
      </rPr>
      <t>(Spring)</t>
    </r>
    <r>
      <rPr>
        <sz val="10"/>
        <rFont val="Arial"/>
        <family val="2"/>
      </rPr>
      <t xml:space="preserve"> Updated Non-Scorable Code for Writing (Pos.1618) to reflect some changes in descriptors.  Illegible becomes Unreadable "U" =1, Not English becomes Foreign Language "F"= 2, Off Topic becomes "T"=3,  Insufficient becomes      "I" = 4, Refusal becomes "R" = 5, Blank becomes blank = 6, No non-scorable code(prompt was scorable) = "-"</t>
    </r>
  </si>
  <si>
    <r>
      <rPr>
        <b/>
        <sz val="10"/>
        <rFont val="Arial"/>
        <family val="2"/>
      </rPr>
      <t>(Spring)</t>
    </r>
    <r>
      <rPr>
        <sz val="10"/>
        <rFont val="Arial"/>
        <family val="2"/>
      </rPr>
      <t xml:space="preserve"> Add "Exceptionality" to "Special Education Exceptionality Category" titles</t>
    </r>
  </si>
  <si>
    <r>
      <rPr>
        <b/>
        <sz val="10"/>
        <rFont val="Arial"/>
        <family val="2"/>
      </rPr>
      <t>(Spring)</t>
    </r>
    <r>
      <rPr>
        <sz val="10"/>
        <rFont val="Arial"/>
        <family val="2"/>
      </rPr>
      <t xml:space="preserve"> Forms (Pos 1702, 1770, 1857, 1928) for each  subject is not used and has been changed to filler.</t>
    </r>
  </si>
  <si>
    <r>
      <rPr>
        <b/>
        <sz val="10"/>
        <rFont val="Arial"/>
        <family val="2"/>
      </rPr>
      <t xml:space="preserve">(Spring) </t>
    </r>
    <r>
      <rPr>
        <sz val="10"/>
        <rFont val="Arial"/>
        <family val="2"/>
      </rPr>
      <t xml:space="preserve">Security Barcode Number (Pos 2129) was changed from using 15 to  8 digits.  The first 7 were added as filler in (Pos 2129) and the new Security Barcode will be (Pos 2136) and use the last 8 digits of the security barcode number.  </t>
    </r>
  </si>
  <si>
    <r>
      <rPr>
        <b/>
        <sz val="10"/>
        <rFont val="Arial"/>
        <family val="2"/>
      </rPr>
      <t xml:space="preserve">(Spring) </t>
    </r>
    <r>
      <rPr>
        <sz val="10"/>
        <rFont val="Arial"/>
        <family val="2"/>
      </rPr>
      <t xml:space="preserve">LAP LEP Code has addded 03 = Yes  to show that they are LEP, but passed the first part of ELDA. </t>
    </r>
  </si>
  <si>
    <r>
      <rPr>
        <b/>
        <sz val="10"/>
        <rFont val="Arial"/>
        <family val="2"/>
      </rPr>
      <t xml:space="preserve">(Spring) </t>
    </r>
    <r>
      <rPr>
        <sz val="10"/>
        <rFont val="Arial"/>
        <family val="2"/>
      </rPr>
      <t>Bubbled, LAP and Summarized Special Education Exceptionalities have changed  to Deafblindness, HI-Deaf, HI-Hard of Hearing</t>
    </r>
  </si>
  <si>
    <r>
      <rPr>
        <b/>
        <sz val="10"/>
        <rFont val="Arial"/>
        <family val="2"/>
      </rPr>
      <t>(Spring)</t>
    </r>
    <r>
      <rPr>
        <sz val="10"/>
        <rFont val="Arial"/>
        <family val="2"/>
      </rPr>
      <t xml:space="preserve"> Summarized PreGED/Skills (pos. 169)has been changed to show Y=Yes PreGED/Skills Student or N= Not PreGED/Skills Student instead of  9, P or blank to be consistent with iLEAP LDESTD.. </t>
    </r>
  </si>
  <si>
    <r>
      <rPr>
        <b/>
        <sz val="10"/>
        <rFont val="Arial"/>
        <family val="2"/>
      </rPr>
      <t xml:space="preserve">(Spring) </t>
    </r>
    <r>
      <rPr>
        <sz val="10"/>
        <rFont val="Arial"/>
        <family val="2"/>
      </rPr>
      <t>Value of 12 has been added to Assess Group Type (pos. 1988-1989) for RES.</t>
    </r>
  </si>
  <si>
    <r>
      <rPr>
        <b/>
        <sz val="10"/>
        <rFont val="Arial"/>
        <family val="2"/>
      </rPr>
      <t xml:space="preserve">(Spring) </t>
    </r>
    <r>
      <rPr>
        <sz val="10"/>
        <rFont val="Arial"/>
        <family val="2"/>
      </rPr>
      <t>The DRC Precode March Update flag (pos. 167) has been removed and changed to filler.</t>
    </r>
  </si>
  <si>
    <r>
      <rPr>
        <b/>
        <sz val="10"/>
        <rFont val="Arial"/>
        <family val="2"/>
      </rPr>
      <t xml:space="preserve">(Spring) </t>
    </r>
    <r>
      <rPr>
        <sz val="10"/>
        <rFont val="Arial"/>
        <family val="2"/>
      </rPr>
      <t>Changed Straggler field (pos. 7) possible values to "Y" and "N" instead of  "Y" and blank.</t>
    </r>
  </si>
  <si>
    <r>
      <rPr>
        <b/>
        <sz val="10"/>
        <rFont val="Arial"/>
        <family val="2"/>
      </rPr>
      <t xml:space="preserve">(Spring) </t>
    </r>
    <r>
      <rPr>
        <sz val="10"/>
        <rFont val="Arial"/>
        <family val="2"/>
      </rPr>
      <t>The following fields no longer have a 'No' bubble, so the value of "2" and "mults" has been removed:  Calculator Use (pos. 158), LEP Status (pos. 217)</t>
    </r>
  </si>
  <si>
    <r>
      <rPr>
        <b/>
        <sz val="10"/>
        <rFont val="Arial"/>
        <family val="2"/>
      </rPr>
      <t xml:space="preserve">(Spring) </t>
    </r>
    <r>
      <rPr>
        <sz val="10"/>
        <rFont val="Arial"/>
        <family val="2"/>
      </rPr>
      <t>Update 2008 LDESTD file layout</t>
    </r>
  </si>
  <si>
    <r>
      <rPr>
        <b/>
        <sz val="10"/>
        <rFont val="Arial"/>
        <family val="2"/>
      </rPr>
      <t xml:space="preserve">(Spring) </t>
    </r>
    <r>
      <rPr>
        <sz val="10"/>
        <rFont val="Arial"/>
        <family val="2"/>
      </rPr>
      <t>Clarified the comment on CR total score for ELA.  It is not to include the word essay as there is no essay on LAA 2 and the writing item should not be included (version number remains 1.6)</t>
    </r>
  </si>
  <si>
    <r>
      <rPr>
        <b/>
        <sz val="10"/>
        <rFont val="Arial"/>
        <family val="2"/>
      </rPr>
      <t>(Spring)</t>
    </r>
    <r>
      <rPr>
        <sz val="10"/>
        <rFont val="Arial"/>
        <family val="2"/>
      </rPr>
      <t xml:space="preserve"> Changed position 94 Document Grade to 03 and position 317 PreCode SpEdCategory to 01 and 02   Version 1.6</t>
    </r>
  </si>
  <si>
    <r>
      <rPr>
        <b/>
        <sz val="10"/>
        <rFont val="Arial"/>
        <family val="2"/>
      </rPr>
      <t>(Spring)</t>
    </r>
    <r>
      <rPr>
        <sz val="10"/>
        <rFont val="Arial"/>
        <family val="2"/>
      </rPr>
      <t xml:space="preserve"> Changed the DOB comment field to clarify what the program does.  This method is the same for iLEAP, LAA 2 and ELDA.</t>
    </r>
  </si>
  <si>
    <r>
      <rPr>
        <b/>
        <sz val="10"/>
        <rFont val="Arial"/>
        <family val="2"/>
      </rPr>
      <t>(Spring)</t>
    </r>
    <r>
      <rPr>
        <sz val="10"/>
        <rFont val="Arial"/>
        <family val="2"/>
      </rPr>
      <t xml:space="preserve"> Batch number is a 6 character field this year for LAA 2</t>
    </r>
  </si>
  <si>
    <r>
      <rPr>
        <b/>
        <sz val="10"/>
        <rFont val="Arial"/>
        <family val="2"/>
      </rPr>
      <t>(Spring)</t>
    </r>
    <r>
      <rPr>
        <sz val="10"/>
        <rFont val="Arial"/>
        <family val="2"/>
      </rPr>
      <t xml:space="preserve"> Raw score totals for ELA and Science RS Item Type MC Items subtest did not have valid values listed.  </t>
    </r>
  </si>
  <si>
    <r>
      <rPr>
        <b/>
        <sz val="10"/>
        <rFont val="Arial"/>
        <family val="2"/>
      </rPr>
      <t xml:space="preserve">(Spring) </t>
    </r>
    <r>
      <rPr>
        <sz val="10"/>
        <rFont val="Arial"/>
        <family val="2"/>
      </rPr>
      <t>Summarized special ed exceptionality can be blank.  I have added it as a valid value and added to the comments field.</t>
    </r>
  </si>
  <si>
    <r>
      <rPr>
        <b/>
        <sz val="10"/>
        <rFont val="Arial"/>
        <family val="2"/>
      </rPr>
      <t xml:space="preserve">(Spring) </t>
    </r>
    <r>
      <rPr>
        <sz val="10"/>
        <rFont val="Arial"/>
        <family val="2"/>
      </rPr>
      <t>Changed 'Included in Simple File' fields and  'Included in Research' fields per Meiqin's email 4-12.   Changed to version 1.3</t>
    </r>
  </si>
  <si>
    <r>
      <rPr>
        <b/>
        <sz val="10"/>
        <rFont val="Arial"/>
        <family val="2"/>
      </rPr>
      <t>(Spring)</t>
    </r>
    <r>
      <rPr>
        <sz val="10"/>
        <rFont val="Arial"/>
        <family val="2"/>
      </rPr>
      <t xml:space="preserve"> Added Summarized Option Code (pos. 169)</t>
    </r>
  </si>
  <si>
    <r>
      <rPr>
        <b/>
        <sz val="10"/>
        <rFont val="Arial"/>
        <family val="2"/>
      </rPr>
      <t xml:space="preserve">(Spring) </t>
    </r>
    <r>
      <rPr>
        <sz val="10"/>
        <rFont val="Arial"/>
        <family val="2"/>
      </rPr>
      <t>Added Bubbled Option Code (pos. 168)</t>
    </r>
  </si>
  <si>
    <r>
      <rPr>
        <b/>
        <sz val="10"/>
        <rFont val="Arial"/>
        <family val="2"/>
      </rPr>
      <t>(Spring)</t>
    </r>
    <r>
      <rPr>
        <sz val="10"/>
        <rFont val="Arial"/>
        <family val="2"/>
      </rPr>
      <t xml:space="preserve"> Added comments for the LAP update process to the precode Grade, Option flag and Special ed category fields.  These can have values that are considered invalid if the DRC March Lap update Flag is "D" or "R". </t>
    </r>
  </si>
  <si>
    <r>
      <rPr>
        <b/>
        <sz val="10"/>
        <rFont val="Arial"/>
        <family val="2"/>
      </rPr>
      <t xml:space="preserve">(Spring) </t>
    </r>
    <r>
      <rPr>
        <sz val="10"/>
        <rFont val="Arial"/>
        <family val="2"/>
      </rPr>
      <t>Removed Subjects for LEAP Tutoring (pos. 307).</t>
    </r>
  </si>
  <si>
    <r>
      <rPr>
        <b/>
        <sz val="10"/>
        <rFont val="Arial"/>
        <family val="2"/>
      </rPr>
      <t xml:space="preserve">(Spring) </t>
    </r>
    <r>
      <rPr>
        <sz val="10"/>
        <rFont val="Arial"/>
        <family val="2"/>
      </rPr>
      <t>Changed "Serial Number" (pos.2107) field name to "Document Spray Value".  Length also changed from 8 to 18.</t>
    </r>
  </si>
  <si>
    <r>
      <rPr>
        <b/>
        <sz val="10"/>
        <rFont val="Arial"/>
        <family val="2"/>
      </rPr>
      <t>(Spring)</t>
    </r>
    <r>
      <rPr>
        <sz val="10"/>
        <rFont val="Arial"/>
        <family val="2"/>
      </rPr>
      <t xml:space="preserve"> Increased Batch Number (pos. 2103) from a length of 4 to 6.</t>
    </r>
  </si>
  <si>
    <r>
      <rPr>
        <b/>
        <sz val="10"/>
        <rFont val="Arial"/>
        <family val="2"/>
      </rPr>
      <t>(Spring)</t>
    </r>
    <r>
      <rPr>
        <sz val="10"/>
        <rFont val="Arial"/>
        <family val="2"/>
      </rPr>
      <t xml:space="preserve"> Removed Cleanup Flag fields from pos. 2025-2029 and pos. 2031-22035.  All were changed to Filler and combined with surrounding Filler fields to create one row.</t>
    </r>
  </si>
  <si>
    <r>
      <rPr>
        <b/>
        <sz val="10"/>
        <rFont val="Arial"/>
        <family val="2"/>
      </rPr>
      <t xml:space="preserve">(Spring) </t>
    </r>
    <r>
      <rPr>
        <sz val="10"/>
        <rFont val="Arial"/>
        <family val="2"/>
      </rPr>
      <t>Version 1.2 modifications: (All changes hi-lighted in yellow, along with 1.1 changes.)</t>
    </r>
  </si>
  <si>
    <r>
      <rPr>
        <b/>
        <sz val="10"/>
        <rFont val="Arial"/>
        <family val="2"/>
      </rPr>
      <t>(Spring)</t>
    </r>
    <r>
      <rPr>
        <sz val="10"/>
        <rFont val="Arial"/>
        <family val="2"/>
      </rPr>
      <t xml:space="preserve"> Version 1.1 - changes made as a result of conference call between DRC and LDE on 3/9/07.  All changes hi-lighted in yellow, along with 1.0 changes.</t>
    </r>
  </si>
  <si>
    <r>
      <rPr>
        <b/>
        <sz val="10"/>
        <rFont val="Arial"/>
        <family val="2"/>
      </rPr>
      <t>(Spring)</t>
    </r>
    <r>
      <rPr>
        <sz val="10"/>
        <rFont val="Arial"/>
        <family val="2"/>
      </rPr>
      <t xml:space="preserve"> Initial version (1.0) for Spring 2007 administration - several fields added are hi-lighted in yellow and filler adjusted appropriately.  Additional grades (5,6,7 and 9) added.  </t>
    </r>
  </si>
  <si>
    <r>
      <rPr>
        <b/>
        <sz val="10"/>
        <rFont val="Arial"/>
        <family val="2"/>
      </rPr>
      <t>(Spring)</t>
    </r>
    <r>
      <rPr>
        <sz val="10"/>
        <rFont val="Arial"/>
        <family val="2"/>
      </rPr>
      <t xml:space="preserve"> Final version (1.6) for Spring 2006 administration.</t>
    </r>
  </si>
  <si>
    <t>Bubbled McKinney-Vento Act (Homeless)</t>
  </si>
  <si>
    <t>Summarized McKinney-Vento Act (Homeless)</t>
  </si>
  <si>
    <t>Hispanic/Latino</t>
  </si>
  <si>
    <t>Asian</t>
  </si>
  <si>
    <t>Black or African American</t>
  </si>
  <si>
    <t>Native Hawaiian or Other Pacific Islander</t>
  </si>
  <si>
    <t>White</t>
  </si>
  <si>
    <t>LAP Hispanic/Latino</t>
  </si>
  <si>
    <t>LAP Asian</t>
  </si>
  <si>
    <t>LAP Black or African American</t>
  </si>
  <si>
    <t>LAP Native Hawaiian or Other Pacific Islander</t>
  </si>
  <si>
    <t>LAP White</t>
  </si>
  <si>
    <r>
      <rPr>
        <b/>
        <sz val="10"/>
        <rFont val="Arial"/>
        <family val="2"/>
      </rPr>
      <t xml:space="preserve">(Fall) </t>
    </r>
    <r>
      <rPr>
        <sz val="10"/>
        <rFont val="Arial"/>
        <family val="2"/>
      </rPr>
      <t xml:space="preserve"> Added new Bubbled McKinney-Vento Act (Homeless) field to pos. 244.</t>
    </r>
  </si>
  <si>
    <r>
      <rPr>
        <b/>
        <sz val="10"/>
        <rFont val="Arial"/>
        <family val="2"/>
      </rPr>
      <t xml:space="preserve">(Fall) </t>
    </r>
    <r>
      <rPr>
        <sz val="10"/>
        <rFont val="Arial"/>
        <family val="2"/>
      </rPr>
      <t xml:space="preserve"> Changed position 327 from Filler to the new Summarized McKinney-Vento Act (Homeless) field. </t>
    </r>
  </si>
  <si>
    <r>
      <rPr>
        <b/>
        <sz val="10"/>
        <rFont val="Arial"/>
        <family val="2"/>
      </rPr>
      <t xml:space="preserve">(Fall)  </t>
    </r>
    <r>
      <rPr>
        <sz val="10"/>
        <rFont val="Arial"/>
        <family val="2"/>
      </rPr>
      <t>Changed the LAP Ethnicity field to Filler in pos. 165.</t>
    </r>
  </si>
  <si>
    <r>
      <rPr>
        <b/>
        <sz val="10"/>
        <rFont val="Arial"/>
        <family val="2"/>
      </rPr>
      <t xml:space="preserve">(Fall)  </t>
    </r>
    <r>
      <rPr>
        <sz val="10"/>
        <rFont val="Arial"/>
        <family val="2"/>
      </rPr>
      <t>Changed the Bubbled Ethnicity field to Filler in pos. 173.</t>
    </r>
  </si>
  <si>
    <t>03 = Spring
07 = Summer Retest
10 = Fall Retest</t>
  </si>
  <si>
    <r>
      <rPr>
        <b/>
        <sz val="10"/>
        <rFont val="Arial"/>
        <family val="2"/>
      </rPr>
      <t>(Fall)</t>
    </r>
    <r>
      <rPr>
        <sz val="10"/>
        <rFont val="Arial"/>
        <family val="2"/>
      </rPr>
      <t xml:space="preserve">  Added '10' as a possible value for the Admin Month field in position 1-2.</t>
    </r>
  </si>
  <si>
    <r>
      <rPr>
        <b/>
        <sz val="10"/>
        <rFont val="Arial"/>
        <family val="2"/>
      </rPr>
      <t xml:space="preserve">(Fall)  </t>
    </r>
    <r>
      <rPr>
        <sz val="10"/>
        <rFont val="Arial"/>
        <family val="2"/>
      </rPr>
      <t>Added 'F' to the Admin. Column to denote which fields are included in the Fall Retest.</t>
    </r>
  </si>
  <si>
    <t>FILLER</t>
  </si>
  <si>
    <t xml:space="preserve"> FILLER</t>
  </si>
  <si>
    <t>Summarized Ethnicity/Race</t>
  </si>
  <si>
    <t>Bubbled Ethnicity/Race</t>
  </si>
  <si>
    <t>LAP Ethnicity/Race</t>
  </si>
  <si>
    <r>
      <rPr>
        <b/>
        <sz val="10"/>
        <rFont val="Arial"/>
        <family val="2"/>
      </rPr>
      <t xml:space="preserve">(Fall)  </t>
    </r>
    <r>
      <rPr>
        <sz val="10"/>
        <rFont val="Arial"/>
        <family val="2"/>
      </rPr>
      <t>Added Bubbled Ethnicity/Race fields to Pos. 224-229.</t>
    </r>
  </si>
  <si>
    <r>
      <rPr>
        <b/>
        <sz val="10"/>
        <rFont val="Arial"/>
        <family val="2"/>
      </rPr>
      <t>(Fall)</t>
    </r>
    <r>
      <rPr>
        <sz val="10"/>
        <rFont val="Arial"/>
        <family val="2"/>
      </rPr>
      <t xml:space="preserve">  Added LAP Ethnicity/Race fields to Pos. 319-324. </t>
    </r>
  </si>
  <si>
    <r>
      <rPr>
        <b/>
        <sz val="10"/>
        <rFont val="Arial"/>
        <family val="2"/>
      </rPr>
      <t>(Fall)</t>
    </r>
    <r>
      <rPr>
        <sz val="10"/>
        <rFont val="Arial"/>
        <family val="2"/>
      </rPr>
      <t xml:space="preserve">  Updated the Summarized Ethnicity/Race possible values in pos. 154.</t>
    </r>
  </si>
  <si>
    <r>
      <rPr>
        <b/>
        <sz val="10"/>
        <rFont val="Arial"/>
        <family val="2"/>
      </rPr>
      <t>(Fall)</t>
    </r>
    <r>
      <rPr>
        <sz val="10"/>
        <rFont val="Arial"/>
        <family val="2"/>
      </rPr>
      <t xml:space="preserve"> Updated the file heading from 'Complete' to 'Final file_Assessment and Accountability Staff'.</t>
    </r>
  </si>
  <si>
    <t>Include in Researcher file?</t>
  </si>
  <si>
    <t>Include in LDE Staff &amp; Contractors file?</t>
  </si>
  <si>
    <r>
      <rPr>
        <b/>
        <sz val="10"/>
        <rFont val="Arial"/>
        <family val="2"/>
      </rPr>
      <t xml:space="preserve">(Fall) </t>
    </r>
    <r>
      <rPr>
        <sz val="10"/>
        <rFont val="Arial"/>
        <family val="2"/>
      </rPr>
      <t>Updated the Research and Simple column fields to be Researcher and LDE Staff &amp; Contractors.</t>
    </r>
  </si>
  <si>
    <r>
      <rPr>
        <b/>
        <sz val="10"/>
        <rFont val="Arial"/>
        <family val="2"/>
      </rPr>
      <t xml:space="preserve">(Fall) </t>
    </r>
    <r>
      <rPr>
        <sz val="10"/>
        <rFont val="Arial"/>
        <family val="2"/>
      </rPr>
      <t>Updated pos. 167 to LAP McKinney-Vento Act (Homeless) Flag.</t>
    </r>
  </si>
  <si>
    <r>
      <rPr>
        <b/>
        <sz val="10"/>
        <rFont val="Arial"/>
        <family val="2"/>
      </rPr>
      <t>(Fall)</t>
    </r>
    <r>
      <rPr>
        <sz val="10"/>
        <rFont val="Arial"/>
        <family val="2"/>
      </rPr>
      <t xml:space="preserve"> Updated the Include in N-Counts business rule to reference the new Include in N-Counts section in the Scoring Processing Rules for how the flags are set.</t>
    </r>
  </si>
  <si>
    <r>
      <rPr>
        <b/>
        <sz val="10"/>
        <rFont val="Arial"/>
        <family val="2"/>
      </rPr>
      <t>(Fall)</t>
    </r>
    <r>
      <rPr>
        <sz val="10"/>
        <rFont val="Arial"/>
        <family val="2"/>
      </rPr>
      <t xml:space="preserve"> Updated the description/comments for the Summarized Void and Plagiarism Void fields. </t>
    </r>
  </si>
  <si>
    <t>Laura Muhs</t>
  </si>
  <si>
    <t>Charter Type</t>
  </si>
  <si>
    <t>1 = Type 1 Charter
2 = Type 2 Charter
3 = Type 3 Charter
4 = Type 4 Charter
5 = Type 5 Charter
Blank = Not a Charter School</t>
  </si>
  <si>
    <r>
      <t xml:space="preserve">(Spring)  </t>
    </r>
    <r>
      <rPr>
        <sz val="10"/>
        <rFont val="Arial"/>
        <family val="2"/>
      </rPr>
      <t xml:space="preserve">Remove Option 3 from the LAP Option Code field.  Since we are no longer testing grade 9, this is no longer a value on the LAP file.   (Pos 163) </t>
    </r>
  </si>
  <si>
    <r>
      <rPr>
        <b/>
        <sz val="10"/>
        <rFont val="Arial"/>
        <family val="2"/>
      </rPr>
      <t xml:space="preserve">(Spring) </t>
    </r>
    <r>
      <rPr>
        <sz val="10"/>
        <rFont val="Arial"/>
        <family val="2"/>
      </rPr>
      <t xml:space="preserve"> Removed all references to Grades 9 and PreGED.   (multiple locations)</t>
    </r>
  </si>
  <si>
    <r>
      <rPr>
        <b/>
        <sz val="10"/>
        <rFont val="Arial"/>
        <family val="2"/>
      </rPr>
      <t>(Spring)</t>
    </r>
    <r>
      <rPr>
        <sz val="10"/>
        <rFont val="Arial"/>
        <family val="2"/>
      </rPr>
      <t xml:space="preserve">  Added Home-base Site District Code (Pos 2059-2061) and Home-base School Code fields (Pos 2062-2064) to LDESTD.</t>
    </r>
  </si>
  <si>
    <r>
      <rPr>
        <b/>
        <sz val="10"/>
        <rFont val="Arial"/>
        <family val="2"/>
      </rPr>
      <t xml:space="preserve">(Spring) </t>
    </r>
    <r>
      <rPr>
        <sz val="10"/>
        <rFont val="Arial"/>
        <family val="2"/>
      </rPr>
      <t xml:space="preserve"> Added new field for the Charter Type 1-5 since we now received this information on the November version of the Master Files. (Pos 1990)</t>
    </r>
  </si>
  <si>
    <r>
      <rPr>
        <b/>
        <sz val="10"/>
        <rFont val="Arial"/>
        <family val="2"/>
      </rPr>
      <t>(Spring)</t>
    </r>
    <r>
      <rPr>
        <sz val="10"/>
        <rFont val="Arial"/>
        <family val="2"/>
      </rPr>
      <t xml:space="preserve"> Updated DRC Unique Student ID and changed LDE Staff &amp; Contractors and Researcher values from “N” to “Y”.  (Pos 2123-2128)</t>
    </r>
  </si>
  <si>
    <r>
      <rPr>
        <b/>
        <sz val="10"/>
        <rFont val="Arial"/>
        <family val="2"/>
      </rPr>
      <t>(Spring)</t>
    </r>
    <r>
      <rPr>
        <sz val="10"/>
        <rFont val="Arial"/>
        <family val="2"/>
      </rPr>
      <t xml:space="preserve"> Updated Summarize to Assess Group Code for District Level Reporting Flag and changed LDE Staff &amp; Contractors and Researcher values from “N” to “Y”  (Pos 1999)</t>
    </r>
  </si>
  <si>
    <r>
      <rPr>
        <b/>
        <sz val="10"/>
        <rFont val="Arial"/>
        <family val="2"/>
      </rPr>
      <t>(Spring)</t>
    </r>
    <r>
      <rPr>
        <sz val="10"/>
        <rFont val="Arial"/>
        <family val="2"/>
      </rPr>
      <t xml:space="preserve"> Updated Rollup to State Flag and changed LDE Staff &amp; Contractors and Researcher values from “N” to “Y”  (Pos 1996)</t>
    </r>
  </si>
  <si>
    <r>
      <rPr>
        <b/>
        <sz val="10"/>
        <rFont val="Arial"/>
        <family val="2"/>
      </rPr>
      <t>(Spring)</t>
    </r>
    <r>
      <rPr>
        <sz val="10"/>
        <rFont val="Arial"/>
        <family val="2"/>
      </rPr>
      <t xml:space="preserve"> Updated Accountability Achievement Level by Subject and changed LDE Staff &amp; Contractors and Researcher values from “N” to “Y”  (Pos 2068-2079)</t>
    </r>
  </si>
  <si>
    <r>
      <rPr>
        <b/>
        <sz val="10"/>
        <rFont val="Arial"/>
        <family val="2"/>
      </rPr>
      <t>(Spring)</t>
    </r>
    <r>
      <rPr>
        <sz val="10"/>
        <rFont val="Arial"/>
        <family val="2"/>
      </rPr>
      <t xml:space="preserve"> Updated Accountability Codes (by Subject) and changed LDE Staff &amp; Contractors and Researcher values from “N” to “Y”.  (Pos 2051-2058)</t>
    </r>
  </si>
  <si>
    <r>
      <rPr>
        <b/>
        <sz val="10"/>
        <rFont val="Arial"/>
        <family val="2"/>
      </rPr>
      <t>(Spring)</t>
    </r>
    <r>
      <rPr>
        <sz val="10"/>
        <rFont val="Arial"/>
        <family val="2"/>
      </rPr>
      <t xml:space="preserve"> Updated Schools Summarize to LEA Code for District Level Reporting Flag and changed LDE Staff &amp; Contractors and Researcher values from “N” to “Y”  (Pos 2001)</t>
    </r>
  </si>
  <si>
    <r>
      <rPr>
        <b/>
        <sz val="10"/>
        <rFont val="Arial"/>
        <family val="2"/>
      </rPr>
      <t xml:space="preserve">(Spring)  </t>
    </r>
    <r>
      <rPr>
        <sz val="10"/>
        <rFont val="Arial"/>
        <family val="2"/>
      </rPr>
      <t>Update the LDE Unique ID field to be named LDE Unique ID (GUID) and used filler to change the length from 7 to 10.   Also updated the LDE Staff &amp; Contractors and Researcher values from "N" to "Y".   (Pos 2081-2090)</t>
    </r>
  </si>
  <si>
    <r>
      <rPr>
        <b/>
        <sz val="10"/>
        <rFont val="Arial"/>
        <family val="2"/>
      </rPr>
      <t xml:space="preserve">(Spring) </t>
    </r>
    <r>
      <rPr>
        <sz val="10"/>
        <rFont val="Arial"/>
        <family val="2"/>
      </rPr>
      <t xml:space="preserve"> Change Bubbled PreGED/Skills (Pos 168) and Summarized PreGED/Skills (Pos 169) to Filler since we are no longer doing Grade 9.  </t>
    </r>
  </si>
  <si>
    <r>
      <rPr>
        <b/>
        <sz val="10"/>
        <rFont val="Arial"/>
        <family val="2"/>
      </rPr>
      <t>(Spring)</t>
    </r>
    <r>
      <rPr>
        <sz val="10"/>
        <rFont val="Arial"/>
        <family val="2"/>
      </rPr>
      <t xml:space="preserve">  Removed 1 space of Filler to be used for Charter Types.  (Pos 1991-1995</t>
    </r>
  </si>
  <si>
    <r>
      <rPr>
        <b/>
        <sz val="10"/>
        <rFont val="Arial"/>
        <family val="2"/>
      </rPr>
      <t xml:space="preserve">(Spring) </t>
    </r>
    <r>
      <rPr>
        <sz val="10"/>
        <rFont val="Arial"/>
        <family val="2"/>
      </rPr>
      <t xml:space="preserve"> Added a business rule to reference the Match-back and LDESTD Record Creation section of the Processing Rules-materials and Scoring document for more information on how the Barcode/Student Precode Number value is populated in positions 126-134.</t>
    </r>
  </si>
  <si>
    <r>
      <rPr>
        <b/>
        <sz val="10"/>
        <rFont val="Arial"/>
        <family val="2"/>
      </rPr>
      <t>(Spring)</t>
    </r>
    <r>
      <rPr>
        <sz val="10"/>
        <rFont val="Arial"/>
        <family val="2"/>
      </rPr>
      <t xml:space="preserve">  Added a business rule to document when the Summarized Void Flag will be set to 'Y'  in positions 1952-1955</t>
    </r>
  </si>
  <si>
    <r>
      <rPr>
        <b/>
        <sz val="10"/>
        <rFont val="Arial"/>
        <family val="2"/>
      </rPr>
      <t>(Spring)</t>
    </r>
    <r>
      <rPr>
        <sz val="10"/>
        <rFont val="Arial"/>
        <family val="2"/>
      </rPr>
      <t xml:space="preserve">  Added a business rule to document when the Plagiarism  Void Flag will be set to 'Y'  in positions 1961-1964.</t>
    </r>
  </si>
  <si>
    <r>
      <rPr>
        <b/>
        <sz val="10"/>
        <rFont val="Arial"/>
        <family val="2"/>
      </rPr>
      <t xml:space="preserve">(Spring) </t>
    </r>
    <r>
      <rPr>
        <sz val="10"/>
        <rFont val="Arial"/>
        <family val="2"/>
      </rPr>
      <t xml:space="preserve"> Added a business rule to outline the logic used to set the Test Security Violation flags in positions 2041-2050.</t>
    </r>
  </si>
  <si>
    <r>
      <rPr>
        <b/>
        <sz val="10"/>
        <rFont val="Arial"/>
        <family val="2"/>
      </rPr>
      <t>(Spring)</t>
    </r>
    <r>
      <rPr>
        <sz val="10"/>
        <rFont val="Arial"/>
        <family val="2"/>
      </rPr>
      <t xml:space="preserve">  Added notes to "Refer to the Rules to Determine Demographic Values" in the following fields:
Summarized Grade (94-95)
Summarized DOB (145-152)
Summarized Gender (153)
Summarized Ethnicity/Race (154)
Summarized Lunch (155)
Summarized Spec Ed Exceptionality Category (308)
Summarized LEP Status (326)
Summarized McKinney-Vento Act (327)
Summarized Migrant Status (328)
</t>
    </r>
  </si>
  <si>
    <r>
      <rPr>
        <b/>
        <sz val="10"/>
        <rFont val="Arial"/>
        <family val="2"/>
      </rPr>
      <t>(Spring)</t>
    </r>
    <r>
      <rPr>
        <sz val="10"/>
        <rFont val="Arial"/>
        <family val="2"/>
      </rPr>
      <t xml:space="preserve">  Clarified the business rule for Summarized Exceptionality Category (Pos 308-309)</t>
    </r>
  </si>
  <si>
    <r>
      <rPr>
        <b/>
        <sz val="10"/>
        <rFont val="Arial"/>
        <family val="2"/>
      </rPr>
      <t>(Spring)</t>
    </r>
    <r>
      <rPr>
        <sz val="10"/>
        <rFont val="Arial"/>
        <family val="2"/>
      </rPr>
      <t xml:space="preserve">  Updated the Include in N-Counts business rule to reference the new Include in N-Counts section in the Scoring Processing Rules for how the flags are set positions 1970-1973.</t>
    </r>
  </si>
  <si>
    <t xml:space="preserve">PRE = Pre-Foundational
FOU = Foundational
APP = Approaching Basic
BAS = Basic 
Blank      
</t>
  </si>
  <si>
    <t>1 = Unreadable (U)
2 = Foreign Language (F)
3 = Off Topic (T)
4 = Insufficient (I)
5 = Refusal (R)
6 = Blank (B)
Blank</t>
  </si>
  <si>
    <t>0 = Neither MC nor CR taken
1 = MC only taken
2 = CR only taken
3 = Both MC and CR taken</t>
  </si>
  <si>
    <t>Y = Subject was attempted 
N = Subject was not attempted</t>
  </si>
  <si>
    <t>Bubbled Previously Attempted ELA Test</t>
  </si>
  <si>
    <t>Bubbled Previously Attempted Math Test</t>
  </si>
  <si>
    <t>Bubbled Previously Attempted Science Test</t>
  </si>
  <si>
    <t>Bubbled Previously Attempted Social Studies Test</t>
  </si>
  <si>
    <t xml:space="preserve">3 digit district code for the home-base Site 
Blank </t>
  </si>
  <si>
    <t xml:space="preserve">3 digit school code for the home-base Site 
Blank </t>
  </si>
  <si>
    <t xml:space="preserve">0000000000-9999999999
Blank </t>
  </si>
  <si>
    <t xml:space="preserve">Precode Number or Single Doc Label Number
Blank </t>
  </si>
  <si>
    <t xml:space="preserve">Y = Yes
N = No
Blank </t>
  </si>
  <si>
    <t xml:space="preserve">Blank </t>
  </si>
  <si>
    <t xml:space="preserve">01-31
Blank </t>
  </si>
  <si>
    <r>
      <rPr>
        <b/>
        <sz val="10"/>
        <rFont val="Arial"/>
        <family val="2"/>
      </rPr>
      <t>(Spring)</t>
    </r>
    <r>
      <rPr>
        <sz val="10"/>
        <rFont val="Arial"/>
        <family val="2"/>
      </rPr>
      <t xml:space="preserve"> Updated additional LAP values from "Y" to "N" in the LDE Staff &amp; Contractors and Researcher values if there is a corresponding Summarized value that is used.  If there is a LAP value that does not also have a Summarized value, then the LAP value will be included in the LDE Staff &amp; Contractors and Researcher  files.  (Changed:  LAP Lunch (Pos 156), LAP LEP (Pos 159-160), LAP Migrant (Pos 162), LAP Gender (Pos 164),  LAP McKinney-Vento Act (Pos 167), LAP Grade (Pos 174-175),  LAP Special Education Category (Pos 317-318), Bubbled Special Education Category (Pos 179-195).</t>
    </r>
  </si>
  <si>
    <r>
      <rPr>
        <b/>
        <sz val="10"/>
        <rFont val="Arial"/>
        <family val="2"/>
      </rPr>
      <t xml:space="preserve">(Spring) </t>
    </r>
    <r>
      <rPr>
        <sz val="10"/>
        <rFont val="Arial"/>
        <family val="2"/>
      </rPr>
      <t>Added a business rule to reference the Accountability Codes section of the Processing Rules - Materials and Scoring document for information and a process flow to the updated Accountability Code fields positions 2051-2058</t>
    </r>
  </si>
  <si>
    <r>
      <rPr>
        <b/>
        <sz val="10"/>
        <rFont val="Arial"/>
        <family val="2"/>
      </rPr>
      <t>(Spring)</t>
    </r>
    <r>
      <rPr>
        <sz val="10"/>
        <rFont val="Arial"/>
        <family val="2"/>
      </rPr>
      <t xml:space="preserve">  Give more detail on where to find the business rules applying to Student Level Reporting Flags (Pos 2015-2019)</t>
    </r>
  </si>
  <si>
    <t>Y = Hispanic or Latino
N = Not Hispanic or Latino
Blank</t>
  </si>
  <si>
    <r>
      <rPr>
        <b/>
        <sz val="10"/>
        <rFont val="Arial"/>
        <family val="2"/>
      </rPr>
      <t>(Spring)</t>
    </r>
    <r>
      <rPr>
        <sz val="10"/>
        <rFont val="Arial"/>
        <family val="2"/>
      </rPr>
      <t xml:space="preserve">  Added blank as an option to the LAP Ethnicity/Race fields (Pos 319-324)</t>
    </r>
  </si>
  <si>
    <r>
      <rPr>
        <b/>
        <sz val="10"/>
        <rFont val="Arial"/>
        <family val="2"/>
      </rPr>
      <t xml:space="preserve">(Spring) </t>
    </r>
    <r>
      <rPr>
        <sz val="10"/>
        <rFont val="Arial"/>
        <family val="2"/>
      </rPr>
      <t xml:space="preserve"> Moved the Bubbled ELA/MATH and SCI/SOC Previously Attempted Tests to Positions 240-243 and listed the subjects individually.  Positions 177-178 Became Filler and 230-239 changed filler size to 10.  (Discuss with LDE-possible change)</t>
    </r>
  </si>
  <si>
    <t xml:space="preserve">Student's SSN
* and "  " values are changed to -. </t>
  </si>
  <si>
    <t>0 = in SIS, not LEP prior 2 yrs
1 = LEP 1 yr prior
2 = LEP 2 yrs prior
3 = LEP current year 
Blank = not in SIS prior 2 years</t>
  </si>
  <si>
    <t xml:space="preserve">1 = Shelter
2 = Double-up
3 = Unsheltered
4 = Hotels/Motels
5 = Unknown
Blank </t>
  </si>
  <si>
    <t>Y = Include student in summary N-counts for 
      subject
N = Do not include student in summary N-counts 
      for subject</t>
  </si>
  <si>
    <t>Y = Plagiarism in subject
N = No plagiarism in subject</t>
  </si>
  <si>
    <t>Y = Void in subject
N = No void in subject</t>
  </si>
  <si>
    <t>PRE = Pre-Foundational
FOU = Foundational
APP = Approaching Basic
BAS = Basic 
Blank</t>
  </si>
  <si>
    <t xml:space="preserve">PRE = Pre-Foundational
FOU = Foundational
APP = Approaching Basic
BAS = Basic 
Blank      </t>
  </si>
  <si>
    <t>ENGLISH LANGUAGE ARTS SCORING SECTION</t>
  </si>
  <si>
    <t>Y = Yes 
N = No</t>
  </si>
  <si>
    <t>Y = Yes Migrant 
N = Not Migrant</t>
  </si>
  <si>
    <t>F = Female
M = Male
I = Invalid</t>
  </si>
  <si>
    <t xml:space="preserve">Y = Yes
N = No
</t>
  </si>
  <si>
    <t xml:space="preserve">Y = Yes
N = No    </t>
  </si>
  <si>
    <r>
      <rPr>
        <sz val="10"/>
        <rFont val="Arial"/>
        <family val="2"/>
      </rPr>
      <t>N</t>
    </r>
    <r>
      <rPr>
        <b/>
        <sz val="10"/>
        <rFont val="Arial"/>
        <family val="2"/>
      </rPr>
      <t xml:space="preserve"> = </t>
    </r>
    <r>
      <rPr>
        <sz val="10"/>
        <rFont val="Arial"/>
        <family val="2"/>
      </rPr>
      <t>No Doc Returned For Precoded Record
M</t>
    </r>
    <r>
      <rPr>
        <b/>
        <sz val="10"/>
        <rFont val="Arial"/>
        <family val="2"/>
      </rPr>
      <t xml:space="preserve"> = </t>
    </r>
    <r>
      <rPr>
        <sz val="10"/>
        <rFont val="Arial"/>
        <family val="2"/>
      </rPr>
      <t>Manually Coded Document Returned
P</t>
    </r>
    <r>
      <rPr>
        <b/>
        <sz val="10"/>
        <rFont val="Arial"/>
        <family val="2"/>
      </rPr>
      <t xml:space="preserve"> = </t>
    </r>
    <r>
      <rPr>
        <sz val="10"/>
        <rFont val="Arial"/>
        <family val="2"/>
      </rPr>
      <t>Precoded Document Returned
O</t>
    </r>
    <r>
      <rPr>
        <b/>
        <sz val="10"/>
        <rFont val="Arial"/>
        <family val="2"/>
      </rPr>
      <t xml:space="preserve"> = </t>
    </r>
    <r>
      <rPr>
        <sz val="10"/>
        <rFont val="Arial"/>
        <family val="2"/>
      </rPr>
      <t xml:space="preserve">Manually Coded Document matched back to Precode Record  </t>
    </r>
    <r>
      <rPr>
        <b/>
        <sz val="10"/>
        <color indexed="10"/>
        <rFont val="Arial"/>
        <family val="2"/>
      </rPr>
      <t/>
    </r>
  </si>
  <si>
    <t>1 = Yes
- = No response (document returned) 
Blank = document not returned</t>
  </si>
  <si>
    <t>1 = Yes
- = No response (document returned)
Blank = document not returned</t>
  </si>
  <si>
    <t>1 = Male
2 = Female
* = Multiple responses
- = No response (document returned)
Blank = document not returned</t>
  </si>
  <si>
    <t>99 = Unknown (Multiple responses)</t>
  </si>
  <si>
    <t>1 = Free
2 = Reduced 
0 = Paid
* = Multiple responses
- = No response (document returned)
Blank = document not returned</t>
  </si>
  <si>
    <t>Bubbled Calculator Use (MTH Test Only)</t>
  </si>
  <si>
    <t>1 = Yes
2 = No 
* = Multiple responses
- = No response (document returned)
Blank = document not returned</t>
  </si>
  <si>
    <t>As bubbled on the answer document.
Blank for grades 4-8 and 10, as these answer documents do not have a bubble for Previously Attempted Subject.</t>
  </si>
  <si>
    <t>As bubbled on the answer document.
Blank for grades 4-8 and 11, as these answer documents do not have a bubble for Previously Attempted Subject.</t>
  </si>
  <si>
    <t>000001-999999
Blank = document not returned</t>
  </si>
  <si>
    <t>0000001-9999999
Blank = document not returned</t>
  </si>
  <si>
    <r>
      <rPr>
        <b/>
        <sz val="10"/>
        <rFont val="Arial"/>
        <family val="2"/>
      </rPr>
      <t xml:space="preserve">(Spring) </t>
    </r>
    <r>
      <rPr>
        <sz val="10"/>
        <rFont val="Arial"/>
        <family val="2"/>
      </rPr>
      <t>Added "JUV" to Assess Group Type  (Pos 1988-1989)</t>
    </r>
  </si>
  <si>
    <t>Last 8 digits of the answer document security bar-code.
Blank = document not returned</t>
  </si>
  <si>
    <t>Y = Asian
N = Not Asian
Blank</t>
  </si>
  <si>
    <t>Y = Black or African American
N = Not Black or African American
Blank</t>
  </si>
  <si>
    <t>Y = Native Hawaiian or Other Pacific Islander
N = Not Native Hawaiian or Other Pacific Islander
Blank</t>
  </si>
  <si>
    <t>Y = White
N = Not White
Blank</t>
  </si>
  <si>
    <r>
      <rPr>
        <b/>
        <sz val="10"/>
        <rFont val="Arial"/>
        <family val="2"/>
      </rPr>
      <t>(Spring)</t>
    </r>
    <r>
      <rPr>
        <sz val="10"/>
        <rFont val="Arial"/>
        <family val="2"/>
      </rPr>
      <t xml:space="preserve">  Updated text to the Home-base District and School Site Code in Pos 2059-2064 to reflect new text from LDE.</t>
    </r>
  </si>
  <si>
    <t>Jennifer Klein</t>
  </si>
  <si>
    <t>ASSESSMENT/ACCOUNTABILITY INFORMATION</t>
  </si>
  <si>
    <t>Precoded Site code</t>
  </si>
  <si>
    <r>
      <rPr>
        <b/>
        <sz val="10"/>
        <rFont val="Arial"/>
        <family val="2"/>
      </rPr>
      <t xml:space="preserve">(Spring) </t>
    </r>
    <r>
      <rPr>
        <sz val="10"/>
        <rFont val="Arial"/>
        <family val="2"/>
      </rPr>
      <t xml:space="preserve">Extended the file layout from </t>
    </r>
    <r>
      <rPr>
        <b/>
        <sz val="10"/>
        <rFont val="Arial"/>
        <family val="2"/>
      </rPr>
      <t>2162</t>
    </r>
    <r>
      <rPr>
        <sz val="10"/>
        <rFont val="Arial"/>
        <family val="2"/>
      </rPr>
      <t xml:space="preserve"> to </t>
    </r>
    <r>
      <rPr>
        <b/>
        <sz val="10"/>
        <rFont val="Arial"/>
        <family val="2"/>
      </rPr>
      <t>2188</t>
    </r>
    <r>
      <rPr>
        <sz val="10"/>
        <rFont val="Arial"/>
        <family val="2"/>
      </rPr>
      <t>.</t>
    </r>
  </si>
  <si>
    <r>
      <rPr>
        <b/>
        <sz val="10"/>
        <rFont val="Arial"/>
        <family val="2"/>
      </rPr>
      <t>(Spring)</t>
    </r>
    <r>
      <rPr>
        <sz val="10"/>
        <rFont val="Arial"/>
        <family val="2"/>
      </rPr>
      <t xml:space="preserve"> Added "Precoded Site Code", "Entry Code", "Entry Date", "Exit Code", and "Exit Date" fields in positions 2144-2169.</t>
    </r>
  </si>
  <si>
    <r>
      <rPr>
        <b/>
        <sz val="10"/>
        <rFont val="Arial"/>
        <family val="2"/>
      </rPr>
      <t>(Spring)</t>
    </r>
    <r>
      <rPr>
        <sz val="10"/>
        <rFont val="Arial"/>
        <family val="2"/>
      </rPr>
      <t xml:space="preserve"> Moved File Creation Date and Timestamp from 2144-2162 to positions 2170-2188.</t>
    </r>
  </si>
  <si>
    <r>
      <rPr>
        <b/>
        <sz val="10"/>
        <rFont val="Arial"/>
        <family val="2"/>
      </rPr>
      <t>(Spring)</t>
    </r>
    <r>
      <rPr>
        <sz val="10"/>
        <rFont val="Arial"/>
        <family val="2"/>
      </rPr>
      <t xml:space="preserve"> Added descriptive text to the Lithocode Field (2115-2121) to note that in Spring 2011,  LAA 2 (and ELDA) have 8 digit Lithocodes on the Answer Documents (an extra zero in the 4th position).  This zero will be removed by EIS so lithocodes will be processed using the standard 7 digits.</t>
    </r>
  </si>
  <si>
    <r>
      <rPr>
        <b/>
        <sz val="10"/>
        <rFont val="Arial"/>
        <family val="2"/>
      </rPr>
      <t xml:space="preserve">(Spring) </t>
    </r>
    <r>
      <rPr>
        <sz val="10"/>
        <rFont val="Arial"/>
        <family val="2"/>
      </rPr>
      <t xml:space="preserve">The Entry and Exit Dates were received on the March LAP file in the incorrect format of MMDDYYYY.  The LDESTD file layout for the Entry Date (2152-2159) and Exit Date (2162-2169)  have been changed to MMDDYYYY for Spring 2011 processing in order to accommodate the pass through of LAP file information. </t>
    </r>
  </si>
  <si>
    <r>
      <rPr>
        <b/>
        <sz val="10"/>
        <rFont val="Arial"/>
        <family val="2"/>
      </rPr>
      <t>(Summer 2011)</t>
    </r>
    <r>
      <rPr>
        <sz val="10"/>
        <rFont val="Arial"/>
        <family val="2"/>
      </rPr>
      <t xml:space="preserve"> Pulled forward from Spring 2011 Administration and removed any strikethrough.</t>
    </r>
  </si>
  <si>
    <r>
      <rPr>
        <b/>
        <sz val="10"/>
        <rFont val="Arial"/>
        <family val="2"/>
      </rPr>
      <t>(Summer 2011)</t>
    </r>
    <r>
      <rPr>
        <sz val="10"/>
        <rFont val="Arial"/>
        <family val="2"/>
      </rPr>
      <t xml:space="preserve"> Remove the comments regarding the 8 digit lithocode which was only necessary for Spring 2011.  (2115-2121)  
</t>
    </r>
    <r>
      <rPr>
        <strike/>
        <sz val="10"/>
        <rFont val="Arial"/>
        <family val="2"/>
      </rPr>
      <t xml:space="preserve">"This is an 8 digit value on the answer documents.  The fourth digit (zero) has been removed to allow it to fit into this 7 digit LAA2LDESTD field." 
</t>
    </r>
    <r>
      <rPr>
        <sz val="10"/>
        <rFont val="Arial"/>
        <family val="2"/>
      </rPr>
      <t xml:space="preserve">
</t>
    </r>
  </si>
  <si>
    <t>O, F</t>
  </si>
  <si>
    <t>S</t>
  </si>
  <si>
    <r>
      <rPr>
        <b/>
        <sz val="10"/>
        <rFont val="Arial"/>
        <family val="2"/>
      </rPr>
      <t xml:space="preserve">(Summer 2011) </t>
    </r>
    <r>
      <rPr>
        <sz val="10"/>
        <rFont val="Arial"/>
        <family val="2"/>
      </rPr>
      <t>Remove 'S' and 'F' from the Admin column for the LDE Unique ID (GUID) field as we do not preidentify students for the Summer and Fall Retests and thus would not pick this information up from LDE Precode file.   (2081-2090)</t>
    </r>
  </si>
  <si>
    <t>LAP Entry Code</t>
  </si>
  <si>
    <t>LAP Entry Date</t>
  </si>
  <si>
    <t>1 = Hispanic/Latino
2 = American Indian or Alaska Native
3 = Asian
4 = Black or African American
5 = Native Hawaiian or Other Pacific Islander
6 = White
7 = Two or more races
I = Invalid</t>
  </si>
  <si>
    <t>American Indian or Alaska Native</t>
  </si>
  <si>
    <t>LAP American Indian or Alaska Native</t>
  </si>
  <si>
    <t>Y = American Indian or Alaska Native
N = Not American Indian or Alaska Native
Blank</t>
  </si>
  <si>
    <r>
      <rPr>
        <b/>
        <sz val="10"/>
        <rFont val="Arial"/>
        <family val="2"/>
      </rPr>
      <t>(Fall 2011)</t>
    </r>
    <r>
      <rPr>
        <sz val="10"/>
        <rFont val="Arial"/>
        <family val="2"/>
      </rPr>
      <t xml:space="preserve">  Added a  note in the Charter Type field description area that states: "The value will be blank for 888, 998, 999 school types."   We do not receive 888, 998, 999  sites on the school master file.   (Pos 1990) </t>
    </r>
  </si>
  <si>
    <r>
      <rPr>
        <b/>
        <sz val="10"/>
        <rFont val="Arial"/>
        <family val="2"/>
      </rPr>
      <t>(Fall 2011)</t>
    </r>
    <r>
      <rPr>
        <sz val="10"/>
        <rFont val="Arial"/>
        <family val="2"/>
      </rPr>
      <t xml:space="preserve">  Updated the Entry/Exit Date and Entry/Exit Code fields to read "LAP Entry Code", "LAP Exit Code", "LAP Entry Date" and "LAP Exit Date"  since these values come from the LAP file.  (Pos 2150-2169)</t>
    </r>
  </si>
  <si>
    <r>
      <rPr>
        <b/>
        <sz val="10"/>
        <rFont val="Arial"/>
        <family val="2"/>
      </rPr>
      <t>(Fall 2011)</t>
    </r>
    <r>
      <rPr>
        <sz val="10"/>
        <rFont val="Arial"/>
        <family val="2"/>
      </rPr>
      <t xml:space="preserve"> Updated all Ethnicity/Race text from "Alaskan Native" to "Alaska Native" (Pos 154, 225, 320)</t>
    </r>
  </si>
  <si>
    <r>
      <rPr>
        <b/>
        <sz val="10"/>
        <rFont val="Arial"/>
        <family val="2"/>
      </rPr>
      <t>(Fall 2011)</t>
    </r>
    <r>
      <rPr>
        <sz val="10"/>
        <rFont val="Arial"/>
        <family val="2"/>
      </rPr>
      <t xml:space="preserve"> Updated the DOB Month and Day fields from "-- (Default)" to  "--" (Pos 145-148).  Also updated the DOB Year (Pos 149-152) from "----(Default)" to "----" since these are not the default.  Also updated the possible values for Summarized DOB Day and Year to show "(0-9 or - in any position)".</t>
    </r>
  </si>
  <si>
    <r>
      <rPr>
        <b/>
        <sz val="10"/>
        <rFont val="Arial"/>
        <family val="2"/>
      </rPr>
      <t xml:space="preserve">(Fall 2011) </t>
    </r>
    <r>
      <rPr>
        <sz val="10"/>
        <rFont val="Arial"/>
        <family val="2"/>
      </rPr>
      <t xml:space="preserve"> Added District Void Flag fields for ELA, MTH, SCI, SOC (Pos1957-1960)</t>
    </r>
  </si>
  <si>
    <t xml:space="preserve">000-999 
Blank </t>
  </si>
  <si>
    <t>000-999
Blank</t>
  </si>
  <si>
    <t>0-9, - , or *  in each position
---------- = No response (document returned)
Blank = document not returned</t>
  </si>
  <si>
    <r>
      <rPr>
        <b/>
        <sz val="10"/>
        <rFont val="Arial"/>
        <family val="2"/>
      </rPr>
      <t>(Fall 2011)</t>
    </r>
    <r>
      <rPr>
        <sz val="10"/>
        <rFont val="Arial"/>
        <family val="2"/>
      </rPr>
      <t xml:space="preserve">  Updated Possible Values from "0000000000-9999999999" to "0-9, - , or *  in each position",  "---------- = No response (document returned)", and "Blank = document not returned" for the Bubbled Optional Local Use field in position 289-298.</t>
    </r>
  </si>
  <si>
    <t>2 digit code
Blank</t>
  </si>
  <si>
    <t>Entry code as flagged on the LAP file.
Blank for a hand-coded document that could not be matched back to the LAP file.</t>
  </si>
  <si>
    <t>Entry date as flagged on the LAP file.
Blank for a hand-coded document that could not be matched back to the LAP file.</t>
  </si>
  <si>
    <t>MMDDYYYY
Blank</t>
  </si>
  <si>
    <t xml:space="preserve">(0-9 or - in any position)
</t>
  </si>
  <si>
    <t>LAP LEP Code</t>
  </si>
  <si>
    <t>LAP LEP Indicator Code</t>
  </si>
  <si>
    <t>LAP Migrant Flag</t>
  </si>
  <si>
    <t xml:space="preserve">LAP Grade Placement   </t>
  </si>
  <si>
    <t xml:space="preserve">LAP Primary Exceptionality </t>
  </si>
  <si>
    <t>LAP Exceptionality Category</t>
  </si>
  <si>
    <t>Charter Type as listed in the School Master File.
Blank for 888 school types.</t>
  </si>
  <si>
    <t>LAP Home-base Site District Code</t>
  </si>
  <si>
    <t>LAP Home-base Site School Code</t>
  </si>
  <si>
    <t>LAP LDE Unique ID (GUID)</t>
  </si>
  <si>
    <t>6 digit site code
Blank</t>
  </si>
  <si>
    <r>
      <rPr>
        <b/>
        <sz val="10"/>
        <rFont val="Arial"/>
        <family val="2"/>
      </rPr>
      <t xml:space="preserve">(Spring 2012) </t>
    </r>
    <r>
      <rPr>
        <sz val="10"/>
        <rFont val="Arial"/>
        <family val="2"/>
      </rPr>
      <t xml:space="preserve"> Updated the name in the header to reflect "Project:  2012 LAA 2 Spring".</t>
    </r>
  </si>
  <si>
    <r>
      <rPr>
        <b/>
        <sz val="10"/>
        <rFont val="Arial"/>
        <family val="2"/>
      </rPr>
      <t>(Spring 2012)</t>
    </r>
    <r>
      <rPr>
        <sz val="10"/>
        <rFont val="Arial"/>
        <family val="2"/>
      </rPr>
      <t xml:space="preserve">   Removed "--" in Summarized DOB Day and  in positions 147-148.</t>
    </r>
  </si>
  <si>
    <r>
      <rPr>
        <b/>
        <sz val="10"/>
        <rFont val="Arial"/>
        <family val="2"/>
      </rPr>
      <t>(Spring 2012)</t>
    </r>
    <r>
      <rPr>
        <sz val="10"/>
        <rFont val="Arial"/>
        <family val="2"/>
      </rPr>
      <t xml:space="preserve">  Removed "1980-2009" and "---- " in Summarized DOB Year in positions 149-152.  The year value listed was just the bubbled DOB Year range.  The LAP DOB Year value may be outside of the year value listed so the range was removed. </t>
    </r>
  </si>
  <si>
    <r>
      <rPr>
        <b/>
        <sz val="10"/>
        <rFont val="Arial"/>
        <family val="2"/>
      </rPr>
      <t xml:space="preserve">(Spring 2012) </t>
    </r>
    <r>
      <rPr>
        <sz val="10"/>
        <rFont val="Arial"/>
        <family val="2"/>
      </rPr>
      <t xml:space="preserve"> Changed "LAP Lunch Status" to "LAP Free/Reduced Lunch" in position 156 to match the field name used in the LAP File Layout.   </t>
    </r>
  </si>
  <si>
    <r>
      <rPr>
        <b/>
        <sz val="10"/>
        <rFont val="Arial"/>
        <family val="2"/>
      </rPr>
      <t>(Spring 2012)</t>
    </r>
    <r>
      <rPr>
        <sz val="10"/>
        <rFont val="Arial"/>
        <family val="2"/>
      </rPr>
      <t xml:space="preserve">  Changed "LAP LEP Status" to "LAP LEP Code"  in positions 159-160 to match the field name used in the LAP File Layout.</t>
    </r>
  </si>
  <si>
    <r>
      <rPr>
        <b/>
        <sz val="10"/>
        <rFont val="Arial"/>
        <family val="2"/>
      </rPr>
      <t>(Spring 2012)</t>
    </r>
    <r>
      <rPr>
        <sz val="10"/>
        <rFont val="Arial"/>
        <family val="2"/>
      </rPr>
      <t xml:space="preserve">  Changed "LAP LEP 2 Yr Flag" to "LAP LEP Indicator Code" in position 161 to match the field name used in the LAP File Layout.</t>
    </r>
  </si>
  <si>
    <r>
      <rPr>
        <b/>
        <sz val="10"/>
        <rFont val="Arial"/>
        <family val="2"/>
      </rPr>
      <t>(Spring 2012)</t>
    </r>
    <r>
      <rPr>
        <sz val="10"/>
        <rFont val="Arial"/>
        <family val="2"/>
      </rPr>
      <t xml:space="preserve">  Changed "LAP Migrant Status" to "LAP Migrant Flag" in position 162 to match the field name used in the LAP File Layout.  </t>
    </r>
  </si>
  <si>
    <r>
      <rPr>
        <b/>
        <sz val="10"/>
        <rFont val="Arial"/>
        <family val="2"/>
      </rPr>
      <t>(Spring 2012)</t>
    </r>
    <r>
      <rPr>
        <sz val="10"/>
        <rFont val="Arial"/>
        <family val="2"/>
      </rPr>
      <t xml:space="preserve">  Changed "LAP Grade" to "LAP Grade Placement" in positions 174-175 to match the field name used in the LAP File Layout.</t>
    </r>
  </si>
  <si>
    <r>
      <rPr>
        <b/>
        <sz val="10"/>
        <rFont val="Arial"/>
        <family val="2"/>
      </rPr>
      <t>(Spring 2012)</t>
    </r>
    <r>
      <rPr>
        <sz val="10"/>
        <rFont val="Arial"/>
        <family val="2"/>
      </rPr>
      <t xml:space="preserve">  Changed "LAP Special Education Primary Exceptionality Code" to "LAP Primary Exceptionality" in positions 315-316 to match the field name used in the LAP File Layout.</t>
    </r>
  </si>
  <si>
    <r>
      <rPr>
        <b/>
        <sz val="10"/>
        <rFont val="Arial"/>
        <family val="2"/>
      </rPr>
      <t xml:space="preserve">(Spring 2012) </t>
    </r>
    <r>
      <rPr>
        <sz val="10"/>
        <rFont val="Arial"/>
        <family val="2"/>
      </rPr>
      <t xml:space="preserve"> Added a note that the Charter Type value will be blank for 888 school types as we do not receive those schools on the School Master File in position 1990.</t>
    </r>
  </si>
  <si>
    <r>
      <rPr>
        <b/>
        <sz val="10"/>
        <rFont val="Arial"/>
        <family val="2"/>
      </rPr>
      <t>(Spring 2012)</t>
    </r>
    <r>
      <rPr>
        <sz val="10"/>
        <rFont val="Arial"/>
        <family val="2"/>
      </rPr>
      <t xml:space="preserve">  Changed "Home-base District Site Code" to "LAP Home-base Site District Code" to match the field name used in the LAP File Layout in positions 2059-2061.   Added LAP to the beginning of the field name as these values come from the LAP file.</t>
    </r>
  </si>
  <si>
    <r>
      <rPr>
        <b/>
        <sz val="10"/>
        <rFont val="Arial"/>
        <family val="2"/>
      </rPr>
      <t>(Spring 2012)</t>
    </r>
    <r>
      <rPr>
        <sz val="10"/>
        <rFont val="Arial"/>
        <family val="2"/>
      </rPr>
      <t xml:space="preserve">  Changed "Home-base School Site Code" to "LAP Home-base Site School Code" to match the field name used in the LAP File Layout in positions 2062-2064.  Added LAP to the beginning of the field name as these values come from the LAP file.</t>
    </r>
  </si>
  <si>
    <r>
      <rPr>
        <b/>
        <sz val="10"/>
        <rFont val="Arial"/>
        <family val="2"/>
      </rPr>
      <t>(Spring 2012)</t>
    </r>
    <r>
      <rPr>
        <sz val="10"/>
        <rFont val="Arial"/>
        <family val="2"/>
      </rPr>
      <t xml:space="preserve">  Changed "LDE Unique Student ID (GUID)" to "LAP LDE Unique ID (GUID)" to match the field name used in the LAP File Layout in positions 2081-2090.  Added LAP to the beginning of the field name as these values come from the LAP file.</t>
    </r>
  </si>
  <si>
    <r>
      <rPr>
        <b/>
        <sz val="10"/>
        <rFont val="Arial"/>
        <family val="2"/>
      </rPr>
      <t>(Spring 2012)</t>
    </r>
    <r>
      <rPr>
        <sz val="10"/>
        <rFont val="Arial"/>
        <family val="2"/>
      </rPr>
      <t xml:space="preserve">  Added "6 digit site code" and "Blank" to the possible values for the Precoded Site Code in positions 2144-2149.  Also added "Blank for a hand-coded document that could not be matched back to the LAP file." in the Description/Notes column.</t>
    </r>
  </si>
  <si>
    <r>
      <rPr>
        <b/>
        <sz val="10"/>
        <rFont val="Arial"/>
        <family val="2"/>
      </rPr>
      <t xml:space="preserve">(Spring 2012) </t>
    </r>
    <r>
      <rPr>
        <sz val="10"/>
        <rFont val="Arial"/>
        <family val="2"/>
      </rPr>
      <t>Added "Blank" as a possible value for LAP Enry Code and added the note "Blank for a hand-coded document that could not be matched back to the LAP file" to the Description/Comments in position 2150-2151.</t>
    </r>
  </si>
  <si>
    <r>
      <rPr>
        <b/>
        <sz val="10"/>
        <rFont val="Arial"/>
        <family val="2"/>
      </rPr>
      <t xml:space="preserve">(Spring 2012) </t>
    </r>
    <r>
      <rPr>
        <sz val="10"/>
        <rFont val="Arial"/>
        <family val="2"/>
      </rPr>
      <t>Added "Blank" as a possible value for LAP Exit Code and added the note "Blank for a hand-coded document that could not be matched back to the LAP file" to the Description/Comments in position 2160-2161.</t>
    </r>
  </si>
  <si>
    <r>
      <rPr>
        <b/>
        <sz val="10"/>
        <rFont val="Arial"/>
        <family val="2"/>
      </rPr>
      <t xml:space="preserve">(Spring 2012) </t>
    </r>
    <r>
      <rPr>
        <sz val="10"/>
        <rFont val="Arial"/>
        <family val="2"/>
      </rPr>
      <t>Added "Blank" as a possible value for LAP Exit Date and added the note "Blank for a hand-coded document that could not be matched back to the LAP file" to the Description/Comments in position 2162-2169.</t>
    </r>
  </si>
  <si>
    <r>
      <rPr>
        <b/>
        <sz val="10"/>
        <rFont val="Arial"/>
        <family val="2"/>
      </rPr>
      <t>(Spring 2012)</t>
    </r>
    <r>
      <rPr>
        <sz val="10"/>
        <rFont val="Arial"/>
        <family val="2"/>
      </rPr>
      <t xml:space="preserve">  Changed "LAP Special Education Exceptionality Category" to "LAP Exceptionality Category" in positions 317-318 to match the field name used in the LAP File Layout.</t>
    </r>
  </si>
  <si>
    <t>LAP McKinney-Vento (Homeless) Flag</t>
  </si>
  <si>
    <t>Raw Score Total - ELA</t>
  </si>
  <si>
    <t>Scaled Score - ELA</t>
  </si>
  <si>
    <t>Assessment Achievement Level - ELA</t>
  </si>
  <si>
    <t xml:space="preserve">Raw Score Total - Math </t>
  </si>
  <si>
    <t>Scaled Score - Math</t>
  </si>
  <si>
    <t>Assessment Achievement Level - Math</t>
  </si>
  <si>
    <t xml:space="preserve">Raw Score Total - Science </t>
  </si>
  <si>
    <t>Scaled Score - Science</t>
  </si>
  <si>
    <t>Assessment Achievement Level - Science</t>
  </si>
  <si>
    <t>Raw Score Total - Social Studies</t>
  </si>
  <si>
    <t>Scaled Score - Social Studies</t>
  </si>
  <si>
    <t>Assessment Achievement Level - Social Studies</t>
  </si>
  <si>
    <t>Test Taken Flag - Math</t>
  </si>
  <si>
    <t>Test Taken Flag - Science</t>
  </si>
  <si>
    <t>Test Taken Flag - Social Studies</t>
  </si>
  <si>
    <t>Updated Accountability Code - ELA</t>
  </si>
  <si>
    <t>Updated Accountability Code - Math</t>
  </si>
  <si>
    <t xml:space="preserve">Updated Accountability Code - Science </t>
  </si>
  <si>
    <t>Updated Accountability Code - Social Studies</t>
  </si>
  <si>
    <r>
      <rPr>
        <b/>
        <sz val="10"/>
        <rFont val="Arial"/>
        <family val="2"/>
      </rPr>
      <t xml:space="preserve">(Spring 2012)  </t>
    </r>
    <r>
      <rPr>
        <sz val="10"/>
        <rFont val="Arial"/>
        <family val="2"/>
      </rPr>
      <t>Changed "ELA Accountability Achievement Level" to "Accountability Achievement Level - ELA" in position 2068-2070 for consistency across projects within the Source Location column of the Accountability File layout.</t>
    </r>
  </si>
  <si>
    <r>
      <rPr>
        <b/>
        <sz val="10"/>
        <rFont val="Arial"/>
        <family val="2"/>
      </rPr>
      <t xml:space="preserve">(Spring 2012) </t>
    </r>
    <r>
      <rPr>
        <sz val="10"/>
        <rFont val="Arial"/>
        <family val="2"/>
      </rPr>
      <t xml:space="preserve"> Changed "Math Accountability Achievement Level" to "Accountability Achievement Level - Math" in position 2071-2073 for consistency across projects within the Source Location column of the Accountability File layout.</t>
    </r>
  </si>
  <si>
    <r>
      <rPr>
        <b/>
        <sz val="10"/>
        <rFont val="Arial"/>
        <family val="2"/>
      </rPr>
      <t xml:space="preserve">(Spring 2012) </t>
    </r>
    <r>
      <rPr>
        <sz val="10"/>
        <rFont val="Arial"/>
        <family val="2"/>
      </rPr>
      <t xml:space="preserve"> Changed "Social Studies Accountability Achievement Level" to "Accountability Achievement Level - Social Studies" in position 2077-2079 for consistency across projects within the Source Location column of the Accountability File layout.</t>
    </r>
  </si>
  <si>
    <r>
      <rPr>
        <b/>
        <sz val="10"/>
        <rFont val="Arial"/>
        <family val="2"/>
      </rPr>
      <t>(Spring 2012)</t>
    </r>
    <r>
      <rPr>
        <sz val="10"/>
        <rFont val="Arial"/>
        <family val="2"/>
      </rPr>
      <t xml:space="preserve">  Changed "Science Accountability Achievement Level" to "Accountability Achievement Level - Science" in position 2074-2076 for consistency across projects within the Source Location column of the Accountability File layout.</t>
    </r>
  </si>
  <si>
    <r>
      <rPr>
        <b/>
        <sz val="10"/>
        <rFont val="Arial"/>
        <family val="2"/>
      </rPr>
      <t>(Spring 2012)</t>
    </r>
    <r>
      <rPr>
        <sz val="10"/>
        <rFont val="Arial"/>
        <family val="2"/>
      </rPr>
      <t xml:space="preserve">  Changed "Updated Social Studies Accountability Code" to "Updated Accountability Code - Social Studies" in position 2057-2058 for consistency across projects within the Source Location column of the Accountability File layout.</t>
    </r>
  </si>
  <si>
    <r>
      <rPr>
        <b/>
        <sz val="10"/>
        <rFont val="Arial"/>
        <family val="2"/>
      </rPr>
      <t xml:space="preserve">(Spring 2012) </t>
    </r>
    <r>
      <rPr>
        <sz val="10"/>
        <rFont val="Arial"/>
        <family val="2"/>
      </rPr>
      <t xml:space="preserve"> Changed "Updated Science Accountability Code" to "Updated Accountability Code - Science" in position 2055-2056 for consistency across projects within the Source Location column of the Accountability File layout.</t>
    </r>
  </si>
  <si>
    <r>
      <rPr>
        <b/>
        <sz val="10"/>
        <rFont val="Arial"/>
        <family val="2"/>
      </rPr>
      <t>(Spring 2012)</t>
    </r>
    <r>
      <rPr>
        <sz val="10"/>
        <rFont val="Arial"/>
        <family val="2"/>
      </rPr>
      <t xml:space="preserve">  Changed "Updated Math Accountability Code" to "Updated Accountability Code - Math" in position 2053-2054 for consistency across projects within the Source Location column of the Accountability File layout.</t>
    </r>
  </si>
  <si>
    <r>
      <rPr>
        <b/>
        <sz val="10"/>
        <rFont val="Arial"/>
        <family val="2"/>
      </rPr>
      <t xml:space="preserve">(Spring 2012) </t>
    </r>
    <r>
      <rPr>
        <sz val="10"/>
        <rFont val="Arial"/>
        <family val="2"/>
      </rPr>
      <t xml:space="preserve"> Changed "Updated ELA Accountability Code" to "Updated Accountability Code - ELA" in position 2051-2052 for consistency across projects within the Source Location column of the Accountability File layout.</t>
    </r>
  </si>
  <si>
    <r>
      <rPr>
        <b/>
        <sz val="10"/>
        <rFont val="Arial"/>
        <family val="2"/>
      </rPr>
      <t>(Spring 2012)</t>
    </r>
    <r>
      <rPr>
        <sz val="10"/>
        <rFont val="Arial"/>
        <family val="2"/>
      </rPr>
      <t xml:space="preserve">  Changed "Social Studies" to "Test Taken Flag - Social Studies" in position 1982 for consistency across projects within the Source Location column of the Accountability File layout.</t>
    </r>
  </si>
  <si>
    <r>
      <rPr>
        <b/>
        <sz val="10"/>
        <rFont val="Arial"/>
        <family val="2"/>
      </rPr>
      <t xml:space="preserve">(Spring 2012) </t>
    </r>
    <r>
      <rPr>
        <sz val="10"/>
        <rFont val="Arial"/>
        <family val="2"/>
      </rPr>
      <t xml:space="preserve"> Changed "Science" to "Test Taken Flag - Science" in position1981 for consistency across projects within the Source Location column of the Accountability File layout.</t>
    </r>
  </si>
  <si>
    <r>
      <rPr>
        <b/>
        <sz val="10"/>
        <rFont val="Arial"/>
        <family val="2"/>
      </rPr>
      <t xml:space="preserve">(Spring 2012) </t>
    </r>
    <r>
      <rPr>
        <sz val="10"/>
        <rFont val="Arial"/>
        <family val="2"/>
      </rPr>
      <t xml:space="preserve"> Changed "Math" to "Test Taken Flag - Math" in position 1980 for consistency across projects within the Source Location column of the Accountability File layout.</t>
    </r>
  </si>
  <si>
    <r>
      <rPr>
        <b/>
        <sz val="10"/>
        <rFont val="Arial"/>
        <family val="2"/>
      </rPr>
      <t>(Spring 2012</t>
    </r>
    <r>
      <rPr>
        <sz val="10"/>
        <rFont val="Arial"/>
        <family val="2"/>
      </rPr>
      <t>)  Changed "Achievement Level" to "Assessment Achievement Level - Social Studies" in position 1880-1882 for consistency across projects within the Source Location column of the Accountability File layout.</t>
    </r>
  </si>
  <si>
    <r>
      <rPr>
        <b/>
        <sz val="10"/>
        <rFont val="Arial"/>
        <family val="2"/>
      </rPr>
      <t xml:space="preserve">(Spring 2012) </t>
    </r>
    <r>
      <rPr>
        <sz val="10"/>
        <rFont val="Arial"/>
        <family val="2"/>
      </rPr>
      <t xml:space="preserve"> Changed "Scaled Score" to "Scaled Score - Social Studies" in position 1868-1870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</si>
  <si>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Social Studies" in position 1863-1867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</si>
  <si>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Science" in position 1793-1795 for consistency across projects within the Source Location column of the Accountability File layout.</t>
    </r>
  </si>
  <si>
    <r>
      <rPr>
        <b/>
        <sz val="10"/>
        <rFont val="Arial"/>
        <family val="2"/>
      </rPr>
      <t>(Spring 2012)</t>
    </r>
    <r>
      <rPr>
        <sz val="10"/>
        <rFont val="Arial"/>
        <family val="2"/>
      </rPr>
      <t xml:space="preserve">  Changed "Scaled Score" to "Scaled Score - Science" in position 1781-1783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</si>
  <si>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Science" in position 1776-1780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</si>
  <si>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Math" in position 1725-1727 for consistency across projects within the Source Location column of the Accountability File layout.</t>
    </r>
  </si>
  <si>
    <r>
      <rPr>
        <b/>
        <sz val="10"/>
        <rFont val="Arial"/>
        <family val="2"/>
      </rPr>
      <t xml:space="preserve">(Spring 2012) </t>
    </r>
    <r>
      <rPr>
        <sz val="10"/>
        <rFont val="Arial"/>
        <family val="2"/>
      </rPr>
      <t xml:space="preserve"> Changed "Scaled Score" to "Scaled Score - Math" in position 1713-1715 for consistency across projects within the Source Location column of the Accountability File layout.</t>
    </r>
  </si>
  <si>
    <r>
      <rPr>
        <b/>
        <sz val="10"/>
        <rFont val="Arial"/>
        <family val="2"/>
      </rPr>
      <t xml:space="preserve">(Spring 2012) </t>
    </r>
    <r>
      <rPr>
        <sz val="10"/>
        <rFont val="Arial"/>
        <family val="2"/>
      </rPr>
      <t xml:space="preserve"> Changed "Raw Score Total" to "Raw Score Total - Math" in position 1708-1712 for consistency across projects within the Source Location column of the Accountability File layout.</t>
    </r>
  </si>
  <si>
    <r>
      <rPr>
        <b/>
        <sz val="10"/>
        <rFont val="Arial"/>
        <family val="2"/>
      </rPr>
      <t xml:space="preserve">(Spring 2012) </t>
    </r>
    <r>
      <rPr>
        <sz val="10"/>
        <rFont val="Arial"/>
        <family val="2"/>
      </rPr>
      <t xml:space="preserve"> Changed "Achievement Level" to "Assessment Achievement Level - ELA" in position 1521-1523 for consistency across projects within the Source Location column of the Accountability File layout.</t>
    </r>
  </si>
  <si>
    <r>
      <rPr>
        <b/>
        <sz val="10"/>
        <rFont val="Arial"/>
        <family val="2"/>
      </rPr>
      <t>(Spring 2012)</t>
    </r>
    <r>
      <rPr>
        <sz val="10"/>
        <rFont val="Arial"/>
        <family val="2"/>
      </rPr>
      <t xml:space="preserve">  Changed "Scaled Score" to "Scaled Score - ELA" in position 1509-1511 for consistency across projects within the Source Location column of the Accountability File layout.</t>
    </r>
  </si>
  <si>
    <r>
      <rPr>
        <b/>
        <sz val="10"/>
        <rFont val="Arial"/>
        <family val="2"/>
      </rPr>
      <t>(Spring 2012)</t>
    </r>
    <r>
      <rPr>
        <sz val="10"/>
        <rFont val="Arial"/>
        <family val="2"/>
      </rPr>
      <t xml:space="preserve">  Changed "Raw Score Total" to "Raw Score Total - ELA" in position 1504-1508 for consistency across projects within the Source Location column of the Accountability File layout.</t>
    </r>
  </si>
  <si>
    <r>
      <rPr>
        <b/>
        <sz val="10"/>
        <rFont val="Arial"/>
        <family val="2"/>
      </rPr>
      <t>(Spring 2012)</t>
    </r>
    <r>
      <rPr>
        <sz val="10"/>
        <rFont val="Arial"/>
        <family val="2"/>
      </rPr>
      <t xml:space="preserve">  Changed "LAP McKinney-Vento Act (Homeless) Flag to "LAP McKinney-Vento (Homeless) Flag in position 167 to match the field name used in the LAP File Layout.</t>
    </r>
  </si>
  <si>
    <t>M</t>
  </si>
  <si>
    <r>
      <rPr>
        <b/>
        <sz val="10"/>
        <rFont val="Arial"/>
        <family val="2"/>
      </rPr>
      <t xml:space="preserve">(Spring 2012) </t>
    </r>
    <r>
      <rPr>
        <sz val="10"/>
        <rFont val="Arial"/>
        <family val="2"/>
      </rPr>
      <t xml:space="preserve">Added possible values of "5 = Non Diploma Bound", "6 = Student Enrolled in Connections Process" in LAP Option Code in position 163.   </t>
    </r>
  </si>
  <si>
    <r>
      <rPr>
        <b/>
        <sz val="10"/>
        <rFont val="Arial"/>
        <family val="2"/>
      </rPr>
      <t>(Spring 2012)</t>
    </r>
    <r>
      <rPr>
        <sz val="10"/>
        <rFont val="Arial"/>
        <family val="2"/>
      </rPr>
      <t xml:space="preserve">  Updated the "Field Use" column with an "M" for all LDESTD fields updated after a manual score merge is applied to the LDESTD file.</t>
    </r>
  </si>
  <si>
    <r>
      <rPr>
        <b/>
        <sz val="10"/>
        <rFont val="Arial"/>
        <family val="2"/>
      </rPr>
      <t>(Spring 2012)</t>
    </r>
    <r>
      <rPr>
        <sz val="10"/>
        <rFont val="Arial"/>
        <family val="2"/>
      </rPr>
      <t xml:space="preserve">  Added the following reference within the Description/Comments column for the District and School Code fields in positions 8-13, "Refer to the Capturing Site-Codes section of the Processing Rules - Materials and Scoring document for logic to determine the Reporting Site-Code value."</t>
    </r>
  </si>
  <si>
    <t>C</t>
  </si>
  <si>
    <r>
      <rPr>
        <b/>
        <sz val="10"/>
        <rFont val="Arial"/>
        <family val="2"/>
      </rPr>
      <t xml:space="preserve">(Spring 2012)  </t>
    </r>
    <r>
      <rPr>
        <sz val="10"/>
        <rFont val="Arial"/>
        <family val="2"/>
      </rPr>
      <t>Added "C" to the Field Use Column for the fields that are updated when the OCS Extract is applied.  Added "C = Corrections" to the footer.</t>
    </r>
  </si>
  <si>
    <r>
      <t xml:space="preserve">(Spring 2012) </t>
    </r>
    <r>
      <rPr>
        <sz val="10"/>
        <rFont val="Arial"/>
        <family val="2"/>
      </rPr>
      <t xml:space="preserve"> Added information to the Bubbbled Accountability Codes  (299-300) and Updated Accountability Codes </t>
    </r>
    <r>
      <rPr>
        <b/>
        <sz val="10"/>
        <rFont val="Arial"/>
        <family val="2"/>
      </rPr>
      <t xml:space="preserve">(2051-2058) </t>
    </r>
    <r>
      <rPr>
        <sz val="10"/>
        <rFont val="Arial"/>
        <family val="2"/>
      </rPr>
      <t>to reference the new name and location of the Accountability Codes for Testing document.</t>
    </r>
  </si>
  <si>
    <r>
      <rPr>
        <b/>
        <sz val="10"/>
        <rFont val="Arial"/>
        <family val="2"/>
      </rPr>
      <t xml:space="preserve">(Spring 2012)  </t>
    </r>
    <r>
      <rPr>
        <sz val="10"/>
        <rFont val="Arial"/>
        <family val="2"/>
      </rPr>
      <t>Moved information showing that MC + CR + WP are included in the Raw Score Total-ELA position 1504  rather than listed in the 1648 Constructed Response Items section.</t>
    </r>
  </si>
  <si>
    <t>Show "N/A" in place of district results on school reports</t>
  </si>
  <si>
    <t>E, M</t>
  </si>
  <si>
    <t>K, E, M</t>
  </si>
  <si>
    <r>
      <rPr>
        <b/>
        <sz val="10"/>
        <rFont val="Arial"/>
        <family val="2"/>
      </rPr>
      <t>(Spring 2012)</t>
    </r>
    <r>
      <rPr>
        <sz val="10"/>
        <rFont val="Arial"/>
        <family val="2"/>
      </rPr>
      <t xml:space="preserve">  Added "M = Score Merge" to the Footer.</t>
    </r>
  </si>
  <si>
    <t>As flagged on the LAP file.
Blank for a hand-coded document that could not be matched back to the LAP file.</t>
  </si>
  <si>
    <t xml:space="preserve">Total raw score by each Math content standard.
Blank when Raw Score Total - Math is blank or content standard is not assessed (zero points possible). </t>
  </si>
  <si>
    <r>
      <t xml:space="preserve">(Spring 2012) </t>
    </r>
    <r>
      <rPr>
        <sz val="10"/>
        <rFont val="Arial"/>
        <family val="2"/>
      </rPr>
      <t>Updated the Description/Comments section for the ELA, Math, Science, and Social Studies Scoring Sections to clarify the 'blank when' rules.  The rules now match how they are documented in LEAP/GEE and iLEAP</t>
    </r>
  </si>
  <si>
    <r>
      <rPr>
        <b/>
        <sz val="10"/>
        <rFont val="Arial"/>
        <family val="2"/>
      </rPr>
      <t>(Spring 2012)</t>
    </r>
    <r>
      <rPr>
        <sz val="10"/>
        <rFont val="Arial"/>
        <family val="2"/>
      </rPr>
      <t xml:space="preserve">  Added "As bubbled on the answer document." within the Description/Comments column for any "Bubbled" fields.</t>
    </r>
  </si>
  <si>
    <t>Blank for grade 11.
As bubbled on the answer document.</t>
  </si>
  <si>
    <t>Blank for grade 10.
As bubbled on the answer document.</t>
  </si>
  <si>
    <t>If field value = "Y", then student will be receiving this footnote.
The Test Security Violation (Void) flag will be set to "Y", if the Summarized Void Flag for English Language Arts = "Y".</t>
  </si>
  <si>
    <r>
      <t xml:space="preserve">The precoded site code is the site where the student received preidentified answer documents.
Blank for a precoded sit that could not be matched back to the LAP file.
</t>
    </r>
    <r>
      <rPr>
        <b/>
        <sz val="10"/>
        <rFont val="Arial"/>
        <family val="2"/>
      </rPr>
      <t xml:space="preserve">Spring: </t>
    </r>
    <r>
      <rPr>
        <sz val="10"/>
        <rFont val="Arial"/>
        <family val="2"/>
      </rPr>
      <t xml:space="preserve">Site code from the LAP File, which will match the site code on the DRC Precode File.  
</t>
    </r>
    <r>
      <rPr>
        <b/>
        <sz val="10"/>
        <rFont val="Arial"/>
        <family val="2"/>
      </rPr>
      <t xml:space="preserve">Retest: </t>
    </r>
    <r>
      <rPr>
        <sz val="10"/>
        <rFont val="Arial"/>
        <family val="2"/>
      </rPr>
      <t>Blank for Summer and Fall Retests.</t>
    </r>
  </si>
  <si>
    <t>Total raw score by each Math subtest.
Blank when Raw Score Total - Math is blank or Subtest is not assessed (zero points possible).</t>
  </si>
  <si>
    <t>If field value = "Y", then student will be receiving this footnote.
The Test Security Violation (Void) flag will be set to "Y", if the Summarized Void Flag for the Mathematics = "Y".</t>
  </si>
  <si>
    <t>If field value = "Y", then student will be receiving this footnote.
The Test Security Violation (Void) flag will be set to "Y", if the Summarized Void Flag for the Science = "Y".</t>
  </si>
  <si>
    <t>If field value = "Y", then student will be receiving this footnote.
The Test Security Violation (Void) flag will be set to "Y", if the Summarized Void Flag for the Social Studies = "Y".</t>
  </si>
  <si>
    <r>
      <rPr>
        <b/>
        <sz val="10"/>
        <rFont val="Arial"/>
        <family val="2"/>
      </rPr>
      <t xml:space="preserve">(Spring 2012) </t>
    </r>
    <r>
      <rPr>
        <sz val="10"/>
        <rFont val="Arial"/>
        <family val="2"/>
      </rPr>
      <t>Added "Blank" as a possible value for LAP Entry Code and added the note "Blank for a hand-coded document that could not be matched back to the LAP file" to the Description/Comments in position 2150-2151.</t>
    </r>
  </si>
  <si>
    <r>
      <rPr>
        <b/>
        <sz val="10"/>
        <rFont val="Arial"/>
        <family val="2"/>
      </rPr>
      <t xml:space="preserve">(Spring 2012) </t>
    </r>
    <r>
      <rPr>
        <sz val="10"/>
        <rFont val="Arial"/>
        <family val="2"/>
      </rPr>
      <t>Added "Blank" as a possible value for LAP Entry Date and added the note "Blank for a hand-coded document that could not be matched back to the LAP file" to the Description/Comments in position 2152-2159.</t>
    </r>
  </si>
  <si>
    <r>
      <rPr>
        <b/>
        <sz val="10"/>
        <rFont val="Arial"/>
        <family val="2"/>
      </rPr>
      <t>(Spring 2012)</t>
    </r>
    <r>
      <rPr>
        <sz val="10"/>
        <rFont val="Arial"/>
        <family val="2"/>
      </rPr>
      <t xml:space="preserve"> Updated the Description/Comments to ensure that all LAP fields had the same statements: 
As flagged on the LAP file.
Blank for a hand-coded document that could not be matched back to the LAP file.</t>
    </r>
  </si>
  <si>
    <r>
      <rPr>
        <b/>
        <sz val="10"/>
        <rFont val="Arial"/>
        <family val="2"/>
      </rPr>
      <t>(Spring 2012)</t>
    </r>
    <r>
      <rPr>
        <sz val="10"/>
        <rFont val="Arial"/>
        <family val="2"/>
      </rPr>
      <t xml:space="preserve">  Changed "English Language Arts" to "Test Taken Flag - English Language Arts" in position 1979 for consistency across projects within the Source Location column of the Accountability File layout.</t>
    </r>
  </si>
  <si>
    <r>
      <rPr>
        <b/>
        <sz val="10"/>
        <rFont val="Arial"/>
        <family val="2"/>
      </rPr>
      <t xml:space="preserve">(Summer 2012) </t>
    </r>
    <r>
      <rPr>
        <sz val="10"/>
        <rFont val="Arial"/>
        <family val="2"/>
      </rPr>
      <t xml:space="preserve"> Updated the name in the header to reflect "Project:  2012 LAA 2 Summer".</t>
    </r>
  </si>
  <si>
    <t>Diane Prince</t>
  </si>
  <si>
    <r>
      <rPr>
        <b/>
        <sz val="10"/>
        <rFont val="Arial"/>
        <family val="2"/>
      </rPr>
      <t>(Summer 2012)</t>
    </r>
    <r>
      <rPr>
        <sz val="10"/>
        <rFont val="Arial"/>
        <family val="2"/>
      </rPr>
      <t xml:space="preserve">  Updated the "Total Score for Writing" blank rule to be formatted similar to other admins.  "Blank when Raw Score Total for ELA is blank."</t>
    </r>
  </si>
  <si>
    <r>
      <rPr>
        <b/>
        <sz val="10"/>
        <rFont val="Arial"/>
        <family val="2"/>
      </rPr>
      <t>(Spring 2012)</t>
    </r>
    <r>
      <rPr>
        <sz val="10"/>
        <rFont val="Arial"/>
        <family val="2"/>
      </rPr>
      <t xml:space="preserve">  Added"Blank" as a possibility for the Accountability Achievement Levels for ELA, Math, Science, Social Studies. (Position 2068-2079)</t>
    </r>
  </si>
  <si>
    <r>
      <rPr>
        <b/>
        <sz val="10"/>
        <rFont val="Arial"/>
        <family val="2"/>
      </rPr>
      <t>(Spring 2012)</t>
    </r>
    <r>
      <rPr>
        <sz val="10"/>
        <rFont val="Arial"/>
        <family val="2"/>
      </rPr>
      <t xml:space="preserve"> Updated the reference within the Description/Comments column in position 1996-2009, Assessment Rollup and Inclusion Flags, to provide the new location of the the Reporting Summarization and Delivery Table and Table of Districts/School Types Included on Each Report as they are now in the Common Louisiana Processing Rules - Reporting document.
</t>
    </r>
  </si>
  <si>
    <r>
      <rPr>
        <b/>
        <sz val="10"/>
        <rFont val="Arial"/>
        <family val="2"/>
      </rPr>
      <t>(Spring 2012)</t>
    </r>
    <r>
      <rPr>
        <sz val="10"/>
        <rFont val="Arial"/>
        <family val="2"/>
      </rPr>
      <t xml:space="preserve">  Added"Blank" as a possibility for the Accountability Achievement Levels for ELA, Math, Science, Social Studies. (Position 2068-2079)</t>
    </r>
  </si>
  <si>
    <r>
      <rPr>
        <b/>
        <sz val="10"/>
        <rFont val="Arial"/>
        <family val="2"/>
      </rPr>
      <t xml:space="preserve">(Spring 2012) </t>
    </r>
    <r>
      <rPr>
        <sz val="10"/>
        <rFont val="Arial"/>
        <family val="2"/>
      </rPr>
      <t>The Field Use column was updated to show fields that are updated after applying score merge results ("M").  These include the following fields: Item Response Strings (334-1498).</t>
    </r>
  </si>
  <si>
    <r>
      <rPr>
        <b/>
        <sz val="10"/>
        <rFont val="Arial"/>
        <family val="2"/>
      </rPr>
      <t xml:space="preserve">(Spring 2012) </t>
    </r>
    <r>
      <rPr>
        <sz val="10"/>
        <rFont val="Arial"/>
        <family val="2"/>
      </rPr>
      <t>The Field Use column was updated for multiple fields to remove the "M" from the Field Use column for fields that will not be updated as a result of the application of score merge results.  These include the following fields: Updated Accountability Codes (2051-2058).</t>
    </r>
  </si>
  <si>
    <r>
      <rPr>
        <b/>
        <sz val="10"/>
        <rFont val="Arial"/>
        <family val="2"/>
      </rPr>
      <t xml:space="preserve">(Spring 2012) </t>
    </r>
    <r>
      <rPr>
        <sz val="10"/>
        <rFont val="Arial"/>
        <family val="2"/>
      </rPr>
      <t>Possible Values and Description/Comments columns were updated to show fields that are blanked out when applying score merge results.  These include the following fields: Item Response Strings (334-1498).  MC/CR Taken Flags (1934-1937) will show "0" rather than blank.</t>
    </r>
  </si>
  <si>
    <t>*, -, and _ values are changed to spaces, and then the spaces are removed by compressing the values from the name field.   I.e.. De Ville becomes DEVILLE</t>
  </si>
  <si>
    <t xml:space="preserve">Mult Disabilities                                                                                                                                                                                                                                                                                                                                                             </t>
  </si>
  <si>
    <t>Upper bound scaled score - ELA</t>
  </si>
  <si>
    <t>Lower bound scaled score - ELA</t>
  </si>
  <si>
    <t>Upper bound scaled score - Math</t>
  </si>
  <si>
    <t>Lower bound scaled score - Math</t>
  </si>
  <si>
    <t>Upper bound scaled score - Science</t>
  </si>
  <si>
    <t>Lower bound scaled score - Science</t>
  </si>
  <si>
    <t>Upper bound scaled score - Social Studies</t>
  </si>
  <si>
    <t>Lower bound scaled score - Social Studies</t>
  </si>
  <si>
    <t>Summarized Void Flag - ELA</t>
  </si>
  <si>
    <t>Summarized Void Flag - Math</t>
  </si>
  <si>
    <t>Summarized Void Flag - Science</t>
  </si>
  <si>
    <t>Summarized Void Flag - Social Studies</t>
  </si>
  <si>
    <t>Plagiarism Void Flag - ELA</t>
  </si>
  <si>
    <t>Plagiarism Void Flag - Math</t>
  </si>
  <si>
    <t>Plagiarism Void Flag - Science</t>
  </si>
  <si>
    <t>Plagiarism Void Flag - Social Studies</t>
  </si>
  <si>
    <t>Test Taken Flag - ELA</t>
  </si>
  <si>
    <t xml:space="preserve">MC / CR Taken - ELA
</t>
  </si>
  <si>
    <t xml:space="preserve">MC / CR Taken - Math
</t>
  </si>
  <si>
    <t xml:space="preserve">MC / CR Taken - Science
</t>
  </si>
  <si>
    <t xml:space="preserve">MC / CR Taken - Social Studies
</t>
  </si>
  <si>
    <t>Mallory Johannes</t>
  </si>
  <si>
    <r>
      <t xml:space="preserve">(Fall 2012) </t>
    </r>
    <r>
      <rPr>
        <sz val="10"/>
        <rFont val="Arial"/>
        <family val="2"/>
      </rPr>
      <t>Updated the Processing/Reporting Section fields to include "- &lt;subject&gt;" in the field name for positions 1934-1973 for clarification.</t>
    </r>
  </si>
  <si>
    <r>
      <t xml:space="preserve">(Fall 2012) </t>
    </r>
    <r>
      <rPr>
        <sz val="10"/>
        <rFont val="Arial"/>
        <family val="2"/>
      </rPr>
      <t xml:space="preserve">Updated the Upper and Lower Bound Scaled Score fields to include "- &lt;subject&gt;" in the field name for positions 1515-1520, 1719-1724, 1787-1792, and 1874-1879 for clarification. </t>
    </r>
  </si>
  <si>
    <r>
      <rPr>
        <b/>
        <sz val="10"/>
        <rFont val="Arial"/>
        <family val="2"/>
      </rPr>
      <t>(Fall 2012) (Logic change)</t>
    </r>
    <r>
      <rPr>
        <sz val="10"/>
        <rFont val="Arial"/>
        <family val="2"/>
      </rPr>
      <t xml:space="preserve"> The Accountability Achievement Level fields in position 2068-2079 will be blank for Summer and Fall Retests as these records are not used by the LDE Accountability Group.  The Admin. Column was updated to remove "F" and "S" since the fields are only needed for the Spring administration.</t>
    </r>
  </si>
  <si>
    <r>
      <rPr>
        <b/>
        <sz val="10"/>
        <rFont val="Arial"/>
        <family val="2"/>
      </rPr>
      <t>(Fall 2012)</t>
    </r>
    <r>
      <rPr>
        <sz val="10"/>
        <rFont val="Arial"/>
        <family val="2"/>
      </rPr>
      <t xml:space="preserve">  Added a note for Test Taken Flags (1979-1982) in the Description/Comments column to refer to the new "Test Taken" section in the Materials and Processing Rules documentaton to see how these flags are set.</t>
    </r>
  </si>
  <si>
    <t>01 = LEA
02 = LAB
03 = CHA
04 = TRI
05 = NPB
06 = STA
08 = BSE
09 = OJJ
10 = MAR
12 = RES
13 = NPS
14 = RLA
15 = RNO
16 = JUV
17 = RBR</t>
  </si>
  <si>
    <r>
      <rPr>
        <b/>
        <sz val="10"/>
        <rFont val="Arial"/>
        <family val="2"/>
      </rPr>
      <t xml:space="preserve">(Fall 2012) </t>
    </r>
    <r>
      <rPr>
        <sz val="10"/>
        <rFont val="Arial"/>
        <family val="2"/>
      </rPr>
      <t xml:space="preserve">  Added new assess group type of 17 = "RBR" for the new Recovery School District—Baton Rouge in position 1988-1989.  </t>
    </r>
  </si>
  <si>
    <t>LAA 2 LDESTD File Layout - Final file_Assessment and Accountability</t>
  </si>
  <si>
    <t>LAP Scholarship Student Flag</t>
  </si>
  <si>
    <t>Y = indicates student has an approved scholarship
N = indicates student does not have an approved 
       scholarship
Blank</t>
  </si>
  <si>
    <t>Provision of English/Native Language Word-to-Word Dictionary (No Definitions)</t>
  </si>
  <si>
    <t>Test Administered by ESL Teacher or Individual Providing Language Services</t>
  </si>
  <si>
    <t>Bubbled Limited English Proficient (LEP) Status</t>
  </si>
  <si>
    <t>Student Reports</t>
  </si>
  <si>
    <t>School Roster - ELA/Math</t>
  </si>
  <si>
    <t>School Roster - Science/Social Studies</t>
  </si>
  <si>
    <t xml:space="preserve">Student Report - ELA/Math
</t>
  </si>
  <si>
    <t xml:space="preserve">Student Report - Science/Social Studies
</t>
  </si>
  <si>
    <t>Footnote:  Test Security Violation (Void) - Math</t>
  </si>
  <si>
    <t>Footnote:  Test Security Violation (Void) - ELA</t>
  </si>
  <si>
    <t>Footnote:  Test Security Violation (Void) - Science</t>
  </si>
  <si>
    <t>Footnote:  Test Security Violation (Void) - Social Studies</t>
  </si>
  <si>
    <t>The numeric type for the Assess Group Code value from the School Master File for the school the student is being reported to.</t>
  </si>
  <si>
    <t>Non-Score Code for Writing</t>
  </si>
  <si>
    <r>
      <rPr>
        <b/>
        <sz val="10"/>
        <rFont val="Arial"/>
        <family val="2"/>
      </rPr>
      <t>(Spring 2013)</t>
    </r>
    <r>
      <rPr>
        <sz val="10"/>
        <rFont val="Arial"/>
        <family val="2"/>
      </rPr>
      <t xml:space="preserve">  Updated field names for consistency across all admins.
Position 217 from "Bubbled Limited English Proficient (LEP) Student" to "Bubbled Limited English Proficient (LEP) Status"
Position 221  from "Provision of Dictionary (No Definition)" to "Provision of English/Native Language Word-to-Word Dictionary (No Definitions)"
Position 222 from "ESL Administrator" to "Test Administered by ESL Teacher or Individual Providing Language Services"
Position 2008 from "SR-Student Reports" to "Student Reports"
Position 2015 from "ELA/Math on Roster" to "School Roster - ELA/Math"
Position 2016 from "Science/Social Studies on Roster" to "School Roster - Science/Social Studies"
Position 2017 from "SR for ELA/Math" to "Student Report - ELA/Math"
Position 2018 from "SR for Science/Social Studies" to "Student Report - Science/Social Studies"
Position 2041 from "Footnote: Test Security Violation" to "Footnote: Test Security Violation (Void) ELA"
Position 2044 from "Footnote: Test Security Violation" to "Footnote: Test Security Violation (Void) Math"
Position 2047 from "Footnote: Test Security Violation" to "Footnote: Test Security Violation (Void) Science"
Position 2050 from "Footnote: Test Security Violation" to "Footnote: Test Security Violation (Void) Social Studies"
</t>
    </r>
  </si>
  <si>
    <t xml:space="preserve">Void due to plagiarism.
The Plagiarism Void flag will be "Y" for a subject, if the student has a row in the LDE approved Void .csv file for the subject and the LDE Type of Void field contains "Plagiarism" or "PLAG". </t>
  </si>
  <si>
    <t>As flagged on the LAP file.
Blank for a hand-coded document that could not be matched back to the LAP file, or if the value was blank on the LAP file.</t>
  </si>
  <si>
    <t>Site code provided by LDE on the LAP file, which is used  to route assessment data back to a student’s “home” site for accountability purposes when students are non-full academic year (non-FAY).   This is a required code for students attending alternative schools.
As flagged on the LAP file.
Blank for a hand-coded document that could not be matched back to the LAP file, or if the value was blank on the LAP file.</t>
  </si>
  <si>
    <t>00000001-99999999
Blank = document not returned</t>
  </si>
  <si>
    <t>Serial Number</t>
  </si>
  <si>
    <r>
      <rPr>
        <b/>
        <sz val="10"/>
        <rFont val="Arial"/>
        <family val="2"/>
      </rPr>
      <t>(Spring 2013)</t>
    </r>
    <r>
      <rPr>
        <sz val="10"/>
        <rFont val="Arial"/>
        <family val="2"/>
      </rPr>
      <t xml:space="preserve">  Updated the field name in (Pos. 1618) from "Non-Scorable Code for Writing" to "Non-Score Code for Writing".  Also updated the Description/Comments section to refer to the Constructed Response Items section within the Processing Rules - Materials and Scoring document.</t>
    </r>
  </si>
  <si>
    <r>
      <rPr>
        <b/>
        <sz val="10"/>
        <rFont val="Arial"/>
        <family val="2"/>
      </rPr>
      <t>(Spring 2013)</t>
    </r>
    <r>
      <rPr>
        <sz val="10"/>
        <rFont val="Arial"/>
        <family val="2"/>
      </rPr>
      <t xml:space="preserve"> Updated the text in the Description/Comment column for Summarized Void flags (Pos. 1952-1955) from "The Summarized Void flag will be "Y" for a subject, if the student has a row in the Combined Void Spreadsheet for the subject and the Type of Void column contains "Plagiarism" or "District"."  to be "The Summarized Void flag will be "Y" for a subject, if the student has a row in the LDE approved Void .csv file for the subject."</t>
    </r>
  </si>
  <si>
    <r>
      <rPr>
        <b/>
        <sz val="10"/>
        <rFont val="Arial"/>
        <family val="2"/>
      </rPr>
      <t xml:space="preserve">(Spring 2013) </t>
    </r>
    <r>
      <rPr>
        <sz val="10"/>
        <rFont val="Arial"/>
        <family val="2"/>
      </rPr>
      <t xml:space="preserve">Updated the text in the Description/Comment column for Plagiarism Void flags (Pos. 1961-1964) from "The Plagiarism Void flag will be "Y" for a subject, if the student has a row in the Combined Void Spreadsheet for the subject and the Type of Void column contains "Plagiarism"."   to be "The Plagiarism Void flag will be "Y" for a subject, if the student has a row in the LDE approved Void .csv file for the subject and the LDE Type of Void field contains "Plagiarism" or "PLAG"." </t>
    </r>
  </si>
  <si>
    <r>
      <rPr>
        <b/>
        <sz val="10"/>
        <rFont val="Arial"/>
        <family val="2"/>
      </rPr>
      <t xml:space="preserve">(Spring 2013) </t>
    </r>
    <r>
      <rPr>
        <sz val="10"/>
        <rFont val="Arial"/>
        <family val="2"/>
      </rPr>
      <t xml:space="preserve"> Updated the Description/Comment text for the Assess Group Type (Pos. 1988-1989) to show this is the numeric value of the school assess group.</t>
    </r>
  </si>
  <si>
    <r>
      <t xml:space="preserve"> (Fall 2012)(Logic change)</t>
    </r>
    <r>
      <rPr>
        <sz val="10"/>
        <rFont val="Arial"/>
        <family val="2"/>
      </rPr>
      <t xml:space="preserve"> Removed “F” (Fall) from the Admin column in (Pos. 2015-2016) for the ELA/Math on Roster and Science/Social Studies on Roster Report Flags fields since LAA 2 will no longer have these reports produced for  Fall 2012.  This means the values will be Blank in the LDESTD file for LAA 2 Fall 2012 records.</t>
    </r>
  </si>
  <si>
    <r>
      <rPr>
        <b/>
        <sz val="10"/>
        <rFont val="Arial"/>
        <family val="2"/>
      </rPr>
      <t>(Spring 2013) (Logic Change)</t>
    </r>
    <r>
      <rPr>
        <sz val="10"/>
        <rFont val="Arial"/>
        <family val="2"/>
      </rPr>
      <t xml:space="preserve"> Added text in the description/comments column for Accountability Achievement Levels (Pos. 2068-2079) to note that the levels will be Blank in Spring for grades 10 &amp; 11.  Accountability no longer collects Grade 10 &amp; 11 Accountability codes.  </t>
    </r>
  </si>
  <si>
    <t>M = Male
F = Female
Blank</t>
  </si>
  <si>
    <t>For "Item Responses" strings, each item uses three characters of space.
If the item is Multiple Choice, the first character of the three is populated with the student's response with the remaining two positions as filler.  
1-4
A
B
C
D
- = No response (document returned)
* = Multiple Response
Blank = document not returned or subject was
        updated for score merge.
--------------------
If the item is Constructed Response, all three characters are used and the student's score for the constructed response item is represented as a decimal to the tenths:
0.0, 0.5, 1.0, 1.5, 2.0, 2.5, 3.0, 3.5, 4.0
B = Subject within the document was sent to 
       Performance Assessment group and there
       was no attempt for the CR item (document
        returned)
- = No response (document  returned and was
      not sent to Performance Assessment group)
Blank = document not returned  or subject was
       updated for score merge.</t>
  </si>
  <si>
    <t>1 = 4th or 8th grade repeater 
4 = Career Diploma Pathway/Track
5 = Non-Diploma Bound
6 = Student Enrolled in Connections Process
7 = Student Pursuing State-approved Skills Certificate after participation in Connections Process
8 = Student Pursuing GED after participation in Connections Process
Blank</t>
  </si>
  <si>
    <r>
      <rPr>
        <b/>
        <sz val="10"/>
        <rFont val="Arial"/>
        <family val="2"/>
      </rPr>
      <t>(Spring)</t>
    </r>
    <r>
      <rPr>
        <sz val="10"/>
        <rFont val="Arial"/>
        <family val="2"/>
      </rPr>
      <t xml:space="preserve">  Added text in the Description/Comments column of the MC/CR Taken Flags (Pos. 1934-1937),  to say "The MC/CR Taken Flags will be set to "0" if the subject was the secondary record involved in a score merge.  A similar text was Included in N-Counts Flags (Pos 1970-1973) and Test Taken Flags (Pos. 1979-1982) to note that the record would be set to "N" if the subject was the secondary record involved in a score merge.</t>
    </r>
  </si>
  <si>
    <r>
      <rPr>
        <b/>
        <sz val="10"/>
        <rFont val="Arial"/>
        <family val="2"/>
      </rPr>
      <t>(Spring) (Logic Change)</t>
    </r>
    <r>
      <rPr>
        <sz val="10"/>
        <rFont val="Arial"/>
        <family val="2"/>
      </rPr>
      <t xml:space="preserve">  
-  Added 2 positions to the Batch Number (new Pos. 2091-2098) so it has a length of 8.  Updated the possible values to 00000001-99999999 to reflect the 8 digits.
-  Decreased the Document Spray Value from 18 positions to 6 (new Pos. 2099-2104).  Updated the possible values to 000001-999999 to reflect the new Serial Number ranges rather than the Document Spray Value.
-  Also changed the field name of "Document Spray Value" to "Serial Number" (Pos. 2099-2104). 
-  Added Filler of 10 positions in (Pos. 2105-2114)</t>
    </r>
  </si>
  <si>
    <r>
      <rPr>
        <b/>
        <sz val="10"/>
        <rFont val="Arial"/>
        <family val="2"/>
      </rPr>
      <t>(Spring 2013) (Logic Change)</t>
    </r>
    <r>
      <rPr>
        <sz val="10"/>
        <rFont val="Arial"/>
        <family val="2"/>
      </rPr>
      <t xml:space="preserve">  Added Grade designations in the Description/Comment column for the Updated Accountability  Codes (Pos. 2051-2058) to the Spring and Retest statements.  Only Spring Grades 4-8 will have Updated Accountability Codes.  Spring Grades 10-11 will be similar to the Retests as neither collects accountability codes.  They will only show a code 86 which would be applied by DRC.</t>
    </r>
  </si>
  <si>
    <r>
      <rPr>
        <b/>
        <sz val="10"/>
        <rFont val="Arial"/>
        <family val="2"/>
      </rPr>
      <t>(Spring 2013) (Logic Change)</t>
    </r>
    <r>
      <rPr>
        <sz val="10"/>
        <rFont val="Arial"/>
        <family val="2"/>
      </rPr>
      <t xml:space="preserve">  Added option 7 and 8 to the LAP Option Code values (Pos. 163).</t>
    </r>
  </si>
  <si>
    <r>
      <t xml:space="preserve">(Spring 2013) (Logic Change)  </t>
    </r>
    <r>
      <rPr>
        <sz val="10"/>
        <rFont val="Arial"/>
        <family val="2"/>
      </rPr>
      <t xml:space="preserve">Added note that the Bubbled Accountability Code (Pos. 299-300) is only used for Grades 4-8.  Accountability no longer collects information for grades 10 and 11. </t>
    </r>
  </si>
  <si>
    <r>
      <rPr>
        <b/>
        <sz val="10"/>
        <rFont val="Arial"/>
        <family val="2"/>
      </rPr>
      <t>(Spring 2013) (Logic Change)</t>
    </r>
    <r>
      <rPr>
        <sz val="10"/>
        <rFont val="Arial"/>
        <family val="2"/>
      </rPr>
      <t xml:space="preserve">  The Bubbled Routing Site Code  Information field in (Pos. 301-306) plus the filler field in (Pos. 307) were changed to FILLER as the bubbled routing site code information was grayed out in the Answer Document.  Routing Information is no longer being collected on the Answer Document.</t>
    </r>
  </si>
  <si>
    <r>
      <rPr>
        <b/>
        <sz val="10"/>
        <rFont val="Arial"/>
        <family val="2"/>
      </rPr>
      <t>(Spring 2013) (Logic Change)</t>
    </r>
    <r>
      <rPr>
        <sz val="10"/>
        <rFont val="Arial"/>
        <family val="2"/>
      </rPr>
      <t xml:space="preserve">  Added the LAP Scholarship Student Flag field in (Pos.2020) (previously FILLER). </t>
    </r>
  </si>
  <si>
    <r>
      <rPr>
        <b/>
        <sz val="10"/>
        <rFont val="Arial"/>
        <family val="2"/>
      </rPr>
      <t xml:space="preserve">(Spring 2013) (Logic Change) </t>
    </r>
    <r>
      <rPr>
        <sz val="10"/>
        <rFont val="Arial"/>
        <family val="2"/>
      </rPr>
      <t xml:space="preserve"> Added the LAP Scholaship Site Code field in (Pos. 2021-2026) (previously FILLER).</t>
    </r>
  </si>
  <si>
    <r>
      <rPr>
        <b/>
        <sz val="10"/>
        <rFont val="Arial"/>
        <family val="2"/>
      </rPr>
      <t xml:space="preserve">(Spring 2013) (Logic Change) </t>
    </r>
    <r>
      <rPr>
        <sz val="10"/>
        <rFont val="Arial"/>
        <family val="2"/>
      </rPr>
      <t xml:space="preserve"> Added the LAP Residence_LEA field in (Pos. 2027-2029) (previously FILLER).</t>
    </r>
  </si>
  <si>
    <r>
      <rPr>
        <b/>
        <sz val="10"/>
        <rFont val="Arial"/>
        <family val="2"/>
      </rPr>
      <t>(Spring 2013) (Logic Change)</t>
    </r>
    <r>
      <rPr>
        <sz val="10"/>
        <rFont val="Arial"/>
        <family val="2"/>
      </rPr>
      <t xml:space="preserve">  Filler field (2020-2040) was replaced with LAP changes listed above and reduced from 21 to 10 positions. Filler is now Pos. 2030-2040.</t>
    </r>
  </si>
  <si>
    <r>
      <t xml:space="preserve"> (Spring 2013)(Logic Change)</t>
    </r>
    <r>
      <rPr>
        <sz val="10"/>
        <rFont val="Arial"/>
        <family val="2"/>
      </rPr>
      <t xml:space="preserve"> Removed “F” (Fall) and "S" (Summer) from the Admin column in (Pos. 2059-2061) for the LAP Home-base Site District Code and also in (Pos. 2062-2064) for the LAP Home-base Site School Code Reports since LAA 2 Summer and Fall do not preidentify students.  This means the values will be Blank in the LDESTD file for LAP Home-base Site Code records in Fall and Summer.</t>
    </r>
  </si>
  <si>
    <r>
      <rPr>
        <b/>
        <sz val="10"/>
        <rFont val="Arial"/>
        <family val="2"/>
      </rPr>
      <t>(Spring 2013)(Logic Change)</t>
    </r>
    <r>
      <rPr>
        <sz val="10"/>
        <rFont val="Arial"/>
        <family val="2"/>
      </rPr>
      <t xml:space="preserve"> Changed field positions 1956-1960, District Void Flag &lt;Subject&gt; to FILLER as the proposed change at the RWS 2012 was not approved.  These fields were added in the Fall in anticipation of the change being approved for LAA 2, iLEAP, and ELDA, and were not changed to FILLER when the change was rejected.  Changing these fields to FILLER for LAA 2 is now consistent with iLEAP and ELDA.</t>
    </r>
  </si>
  <si>
    <t>Total correct ELA multiple choice items.
Blank when Raw Score Total - ELA is blank.</t>
  </si>
  <si>
    <r>
      <rPr>
        <b/>
        <sz val="10"/>
        <rFont val="Arial"/>
        <family val="2"/>
      </rPr>
      <t xml:space="preserve">(Spring) </t>
    </r>
    <r>
      <rPr>
        <sz val="10"/>
        <rFont val="Arial"/>
        <family val="2"/>
      </rPr>
      <t xml:space="preserve"> Updated the Business Rule Column in Pos. 1521-1523 Assessment Achievement Level - ELA, Pos. 1725-1727 Assessment Achievement Level - Math, Pos. 1793-1795 Assessment Achievement Level - Science, and Pos. 1880-1882 Assessment Achievement Level - Social Studies to remove the "Blank when Raw Score Total - &lt;subject&gt; is blank" and replace it with a reference to the Resulting LAA2LDESTD Values by Subject table for setting this value.</t>
    </r>
  </si>
  <si>
    <r>
      <rPr>
        <b/>
        <sz val="10"/>
        <rFont val="Arial"/>
        <family val="2"/>
      </rPr>
      <t xml:space="preserve">(Spring)  </t>
    </r>
    <r>
      <rPr>
        <sz val="10"/>
        <rFont val="Arial"/>
        <family val="2"/>
      </rPr>
      <t>Updated the Business Rule Column in Pos. 1509-1511  Scaled Score - ELA, Pos. 1713-1715 Scaled Score - Math, Pos. 1781-1783 Scaled Score - Science, and Pos. 1868-1870 Scaled Score - Social Studies to remove the "Blank when Raw Score Total - &lt;subject&gt; is blank" and replace it with a reference to the Resulting LAA2LDESTD Values by Subject table for setting this value.</t>
    </r>
  </si>
  <si>
    <r>
      <rPr>
        <b/>
        <sz val="10"/>
        <rFont val="Arial"/>
        <family val="2"/>
      </rPr>
      <t>(Spring)</t>
    </r>
    <r>
      <rPr>
        <sz val="10"/>
        <rFont val="Arial"/>
        <family val="2"/>
      </rPr>
      <t xml:space="preserve">  Updated the Business Rule Column in Pos. 1504-1508 Raw Score Total - ELA, Pos. 1708-1712 Raw Score Total - Math, Pos. 1776-1780 Raw Score Total - Science, and Pos. 1863-1867 Raw Score Total - Social Studies to remove the "Blank when &lt;subject&gt; not attempted or document not returned" and replace it with a reference to the Resulting LAA2LDESTD Values by Subject table for setting this value.</t>
    </r>
  </si>
  <si>
    <r>
      <rPr>
        <b/>
        <sz val="10"/>
        <rFont val="Arial"/>
        <family val="2"/>
      </rPr>
      <t>(Spring 2013)</t>
    </r>
    <r>
      <rPr>
        <sz val="10"/>
        <rFont val="Arial"/>
        <family val="2"/>
      </rPr>
      <t xml:space="preserve">  The following fields have "Blank" as options in LDESTD and the LAP file.  Update the description/comments text to reflect this. Instead of just "Blank for a hand-coded document that could not be matched back to the LAP file", it will include the additional time when it may show as blank by stating, "Blank for a hand-coded document that could not be matched back to the LAP file, or if the value was blank on the LAP file."  This was added to the following fields:
LAP Free/Reduced Lunch (Pos. 156)
LAP LEP Code (Pos. 159-160)
LAP LEP Indicator Code (Pos. 161)
LAP Migrant Flag ( Pos. 162)
LAP Option Code (Pos. 163)
LAP March Update Flag (Pos. 166)
LAP McKinney-Vento (Homeless Flag) (Pos. 167)
LAP Primary Exceptionality (Pos. 315-316)
LAP Exceptionality Category ( 317-318)
LAP Home-base Site District Code (Pos. 2059-2061)
LAP Home-base Site School Code (Pos. 2062-2064)
LAP Exit Code (Pos. 2160-2161)
LAP Exit Date (Pos. 2162-2169)</t>
    </r>
  </si>
  <si>
    <r>
      <t xml:space="preserve">(Spring 2013)  (Logic Change) </t>
    </r>
    <r>
      <rPr>
        <sz val="10"/>
        <rFont val="Arial"/>
        <family val="2"/>
      </rPr>
      <t>The format of the LDESTD file layout has been updated from ".xls" to ".xlsm".</t>
    </r>
  </si>
  <si>
    <r>
      <rPr>
        <b/>
        <sz val="10"/>
        <rFont val="Arial"/>
        <family val="2"/>
      </rPr>
      <t>(Spring)(Logic Change)</t>
    </r>
    <r>
      <rPr>
        <sz val="10"/>
        <rFont val="Arial"/>
        <family val="2"/>
      </rPr>
      <t xml:space="preserve"> The LAP Exit Date and LAP Exit Code fields are no longer populated on the March LAP File therefore the values in the LDESTD file would always be blank.  The fields have been changed to FILLER in Pos. 2160-2169.  This field is only populated in June version of the LAP file.</t>
    </r>
  </si>
  <si>
    <t xml:space="preserve">Total raw score for each ELA content standard.
Blank when Raw Score Total - ELA is blank or content standard is not assessed (zero points possible). </t>
  </si>
  <si>
    <t xml:space="preserve">Total raw score for each ELA subtest.
Blank when Raw Score Total - ELA is blank or content standard is not assessed (zero points possible). </t>
  </si>
  <si>
    <t xml:space="preserve">Total raw score for each writing dimension.
Blank when Raw Score Total - ELA is blank or content standard is not assessed (zero points possible). </t>
  </si>
  <si>
    <t>Total raw score for each Science content standard.
Blank when content standard is not assessed (zero points possible) or when Raw Score Total - Science is blank.</t>
  </si>
  <si>
    <t>Total correct Science multiple choice items.
Blank when Raw Score Total - Science is blank.</t>
  </si>
  <si>
    <t xml:space="preserve">Total raw score by each Social Studies content standard.
Blank when content standard is not assessed (zero points possible) or when Raw Score Total - Social Studies is blank. </t>
  </si>
  <si>
    <t>Total  raw score by each  Social Studies subtests.
Blank when Subtest is not assessed (zero points possible) or Raw Score Total - Social Studies is blank.</t>
  </si>
  <si>
    <t>Include in N-Counts - ELA</t>
  </si>
  <si>
    <t>Include in N-Counts - Math</t>
  </si>
  <si>
    <t>Include in N-Counts - Science</t>
  </si>
  <si>
    <t>Include in N-Counts - Social Studies</t>
  </si>
  <si>
    <t>Include in N-Counts</t>
  </si>
  <si>
    <t>0-99
Blank</t>
  </si>
  <si>
    <r>
      <rPr>
        <b/>
        <sz val="10"/>
        <rFont val="Arial"/>
        <family val="2"/>
      </rPr>
      <t xml:space="preserve">(Spring 2013)  </t>
    </r>
    <r>
      <rPr>
        <sz val="10"/>
        <rFont val="Arial"/>
        <family val="2"/>
      </rPr>
      <t>Removed the text "SEM values are blank when the void flag = "Y"" and replaced with "Blank when the Raw Score Total - &lt;Subject&gt; is blank."   Also added "0-99" and "Blank" as possible values.(Pos. 1512-1514  ELA, Pos. 1716-1718 Math, Pos. 1784-1786 Science, Pos. 1871-1873 Social Studies)</t>
    </r>
  </si>
  <si>
    <r>
      <rPr>
        <b/>
        <sz val="10"/>
        <rFont val="Arial"/>
        <family val="2"/>
      </rPr>
      <t xml:space="preserve">(Summer) </t>
    </r>
    <r>
      <rPr>
        <sz val="10"/>
        <rFont val="Arial"/>
        <family val="2"/>
      </rPr>
      <t xml:space="preserve"> Updated header to "Project: 2013 LAA 2 Summer".</t>
    </r>
  </si>
  <si>
    <r>
      <t xml:space="preserve">First character ("P" or "L", followed by the last 8 digits of the number)
Refer to the </t>
    </r>
    <r>
      <rPr>
        <b/>
        <u/>
        <sz val="10"/>
        <rFont val="Arial"/>
        <family val="2"/>
      </rPr>
      <t>Match-back and LAA2LDESTD Record Creation</t>
    </r>
    <r>
      <rPr>
        <sz val="10"/>
        <rFont val="Arial"/>
        <family val="2"/>
      </rPr>
      <t xml:space="preserve"> section of the Processing Rules - Scoring document for more information on how this field is populated.
Retests will only have "L" values.</t>
    </r>
  </si>
  <si>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</si>
  <si>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</si>
  <si>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As flagged on the LAP file.
Blank for a hand-coded document that could not be matched back to the LAP file, or if the value was blank on the LAP file.</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</si>
  <si>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</si>
  <si>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District and School where student is enrolled and where the student is reported to.
Refer to the </t>
    </r>
    <r>
      <rPr>
        <b/>
        <u/>
        <sz val="10"/>
        <rFont val="Arial"/>
        <family val="2"/>
      </rPr>
      <t xml:space="preserve">Capturing Site-Codes </t>
    </r>
    <r>
      <rPr>
        <sz val="10"/>
        <rFont val="Arial"/>
        <family val="2"/>
      </rPr>
      <t>section of the Processing Rules - Scoring document for logic to determine the Reporting Site-Code value.</t>
    </r>
  </si>
  <si>
    <r>
      <t>Refer to the</t>
    </r>
    <r>
      <rPr>
        <b/>
        <u/>
        <sz val="10"/>
        <rFont val="Arial"/>
        <family val="2"/>
      </rPr>
      <t xml:space="preserve"> Rules to Determine Demographic Values</t>
    </r>
    <r>
      <rPr>
        <sz val="10"/>
        <rFont val="Arial"/>
        <family val="2"/>
      </rPr>
      <t xml:space="preserve"> section of the Processing Rules - Scoring document for logic to determine this value based on values from the LAP file and the answer document.</t>
    </r>
  </si>
  <si>
    <r>
      <t xml:space="preserve">Scaled Score for ELA.
Refer to the </t>
    </r>
    <r>
      <rPr>
        <b/>
        <u/>
        <sz val="10"/>
        <rFont val="Arial"/>
        <family val="2"/>
      </rPr>
      <t>Resulting LAA2LDESTD Values by Subject</t>
    </r>
    <r>
      <rPr>
        <sz val="10"/>
        <rFont val="Arial"/>
        <family val="2"/>
      </rPr>
      <t xml:space="preserve"> section within the Processing Rules - Scoring document for the logic used to set the Scaled Score value.</t>
    </r>
  </si>
  <si>
    <r>
      <t xml:space="preserve">Assessment Achievement Level for ELA.
Refer to the </t>
    </r>
    <r>
      <rPr>
        <b/>
        <u/>
        <sz val="10"/>
        <rFont val="Arial"/>
        <family val="2"/>
      </rPr>
      <t>Resulting LAA2LDESTD Values by Subject</t>
    </r>
    <r>
      <rPr>
        <sz val="10"/>
        <rFont val="Arial"/>
        <family val="2"/>
      </rPr>
      <t xml:space="preserve"> section within the Processing Rules -Scoring document for the logic used to set the Assessment Achievement Level.
Refer to the </t>
    </r>
    <r>
      <rPr>
        <b/>
        <u/>
        <sz val="10"/>
        <rFont val="Arial"/>
        <family val="2"/>
      </rPr>
      <t>Scaled Score Ranges</t>
    </r>
    <r>
      <rPr>
        <sz val="10"/>
        <rFont val="Arial"/>
        <family val="2"/>
      </rPr>
      <t xml:space="preserve"> table within the Processing Rules - Scoring document to see which Achievement  Levels are assigned for each Scaled Score Range.</t>
    </r>
  </si>
  <si>
    <r>
      <t xml:space="preserve">Scaled score for MATH.
Refer to the </t>
    </r>
    <r>
      <rPr>
        <b/>
        <u/>
        <sz val="10"/>
        <rFont val="Arial"/>
        <family val="2"/>
      </rPr>
      <t>Resulting LAA2LDESTD Values by Subject</t>
    </r>
    <r>
      <rPr>
        <sz val="10"/>
        <rFont val="Arial"/>
        <family val="2"/>
      </rPr>
      <t xml:space="preserve"> section within the Processing Rules-Scoring document for the logic used to set the Scaled Score value.</t>
    </r>
  </si>
  <si>
    <r>
      <t xml:space="preserve">Assessment Achievement Level for MATH.
Refer to the </t>
    </r>
    <r>
      <rPr>
        <b/>
        <u/>
        <sz val="10"/>
        <rFont val="Arial"/>
        <family val="2"/>
      </rPr>
      <t>Resulting LAA2LDESTD Values by Subject</t>
    </r>
    <r>
      <rPr>
        <sz val="10"/>
        <rFont val="Arial"/>
        <family val="2"/>
      </rPr>
      <t xml:space="preserve"> section within the Processing Rules - Scoring document for the logic used to set the Assessment Achievement Level.
Refer to the </t>
    </r>
    <r>
      <rPr>
        <b/>
        <u/>
        <sz val="10"/>
        <rFont val="Arial"/>
        <family val="2"/>
      </rPr>
      <t xml:space="preserve">Scaled Score Ranges </t>
    </r>
    <r>
      <rPr>
        <sz val="10"/>
        <rFont val="Arial"/>
        <family val="2"/>
      </rPr>
      <t>table within the Processing Rules - Scoring document to see which Achievement  Levels are assigned for each Scaled Score Range.</t>
    </r>
  </si>
  <si>
    <r>
      <t xml:space="preserve">Assessment Achievement Level for Science.
Refer to the </t>
    </r>
    <r>
      <rPr>
        <b/>
        <u/>
        <sz val="10"/>
        <rFont val="Arial"/>
        <family val="2"/>
      </rPr>
      <t>Resulting LAA2LDESTD Values by Subject</t>
    </r>
    <r>
      <rPr>
        <sz val="10"/>
        <rFont val="Arial"/>
        <family val="2"/>
      </rPr>
      <t xml:space="preserve"> section within the Processing Rules - Scoring document for the logic used to set the Assessment Achievement Level.
Refer to the </t>
    </r>
    <r>
      <rPr>
        <b/>
        <u/>
        <sz val="10"/>
        <rFont val="Arial"/>
        <family val="2"/>
      </rPr>
      <t>Scaled Score Ranges</t>
    </r>
    <r>
      <rPr>
        <sz val="10"/>
        <rFont val="Arial"/>
        <family val="2"/>
      </rPr>
      <t xml:space="preserve"> table within the Processing Rules - Scoring document to see which Achievement  Levels are assigned for each Scaled Score Range.</t>
    </r>
  </si>
  <si>
    <r>
      <t xml:space="preserve">Assessment Achievement Level for Social Studies.
Refer to the </t>
    </r>
    <r>
      <rPr>
        <b/>
        <u/>
        <sz val="10"/>
        <rFont val="Arial"/>
        <family val="2"/>
      </rPr>
      <t>Resulting LAA2LDESTD Values by Subject</t>
    </r>
    <r>
      <rPr>
        <sz val="10"/>
        <rFont val="Arial"/>
        <family val="2"/>
      </rPr>
      <t xml:space="preserve"> section within the Processing Rules - Scoring document for the logic used to set the Assessment Achievement Level.
Refer to the</t>
    </r>
    <r>
      <rPr>
        <b/>
        <u/>
        <sz val="10"/>
        <rFont val="Arial"/>
        <family val="2"/>
      </rPr>
      <t xml:space="preserve"> Scaled Score Ranges </t>
    </r>
    <r>
      <rPr>
        <sz val="10"/>
        <rFont val="Arial"/>
        <family val="2"/>
      </rPr>
      <t>table within the Processing Rules - Scoring document to see which Achievement  Levels are assigned for each Scaled Score Range.</t>
    </r>
  </si>
  <si>
    <r>
      <t xml:space="preserve">Scaled Score for Social Studies.
Refer to the </t>
    </r>
    <r>
      <rPr>
        <b/>
        <u/>
        <sz val="10"/>
        <rFont val="Arial"/>
        <family val="2"/>
      </rPr>
      <t>Resulting LAA2LDESTD Values by Subject</t>
    </r>
    <r>
      <rPr>
        <sz val="10"/>
        <rFont val="Arial"/>
        <family val="2"/>
      </rPr>
      <t xml:space="preserve"> section within the Processing Rules - Scoring document for the logic used to set the Scaled Score value.</t>
    </r>
  </si>
  <si>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Scoring document.
The Include in N-Counts Flag will be set to "N" if the subject was the secondary record involved in a score merge. </t>
    </r>
  </si>
  <si>
    <r>
      <t xml:space="preserve">Student attempted the Subject
Refer to the </t>
    </r>
    <r>
      <rPr>
        <b/>
        <u/>
        <sz val="10"/>
        <rFont val="Arial"/>
        <family val="2"/>
      </rPr>
      <t>Test Taken</t>
    </r>
    <r>
      <rPr>
        <sz val="10"/>
        <rFont val="Arial"/>
        <family val="2"/>
      </rPr>
      <t xml:space="preserve"> section in the Processing Rules - Scoring document for rules on populating these values.
The Test Taken Flag will be set to "N" if the subject was the secondary record involved in a score merge. </t>
    </r>
  </si>
  <si>
    <r>
      <rPr>
        <b/>
        <sz val="10"/>
        <rFont val="Arial"/>
        <family val="2"/>
      </rPr>
      <t>(Summer)</t>
    </r>
    <r>
      <rPr>
        <sz val="10"/>
        <rFont val="Arial"/>
        <family val="2"/>
      </rPr>
      <t xml:space="preserve">  Updated references to the document "Processing Rules - Materials and Scoring" to read "Processing Rules - Scoring".  (multiple locations)</t>
    </r>
  </si>
  <si>
    <r>
      <t xml:space="preserve">This is a compilation of the codes from the LAP file and the bubbled categories. Refer to the </t>
    </r>
    <r>
      <rPr>
        <b/>
        <u/>
        <sz val="10"/>
        <rFont val="Arial"/>
        <family val="2"/>
      </rPr>
      <t>Special Education Exceptionality Categories and Codes</t>
    </r>
    <r>
      <rPr>
        <sz val="10"/>
        <rFont val="Arial"/>
        <family val="2"/>
      </rPr>
      <t xml:space="preserve"> section of the Processing Rules - Scoring document for the list of codes applicable to LAA 2.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</si>
  <si>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"0.0" when the CR item was attempted and no points were received.
Refer to the  </t>
    </r>
    <r>
      <rPr>
        <b/>
        <u/>
        <sz val="10"/>
        <rFont val="Arial"/>
        <family val="2"/>
      </rPr>
      <t xml:space="preserve">Automatic Points Given </t>
    </r>
    <r>
      <rPr>
        <sz val="10"/>
        <rFont val="Arial"/>
        <family val="2"/>
      </rPr>
      <t xml:space="preserve">section of the Processing Rules – Scoring document for more detail on possible values.
The Writing Item (WP) is always the 1st item in the response string and is also listed in the Total Score for Writing Field.
When a subject is updated because of a score merge, the item response string is changed to blank.
</t>
    </r>
  </si>
  <si>
    <r>
      <t xml:space="preserve">Scaled score for Science.
Refer to the </t>
    </r>
    <r>
      <rPr>
        <b/>
        <u/>
        <sz val="10"/>
        <rFont val="Arial"/>
        <family val="2"/>
      </rPr>
      <t>Resulting LAA2LDESTD Values by Subject</t>
    </r>
    <r>
      <rPr>
        <sz val="10"/>
        <rFont val="Arial"/>
        <family val="2"/>
      </rPr>
      <t xml:space="preserve"> section within the Processing Rules - Scoring document for the logic used to set the Scaled Score value.</t>
    </r>
  </si>
  <si>
    <r>
      <t>If field value = "Y", then student will appear on the Science and Social Studies Student Roster.
The Science/Social Studies on Roster flag will be set to "Y",  if the student meets the selection criteria defined within the</t>
    </r>
    <r>
      <rPr>
        <b/>
        <sz val="10"/>
        <rFont val="Arial"/>
        <family val="2"/>
      </rPr>
      <t xml:space="preserve"> </t>
    </r>
    <r>
      <rPr>
        <b/>
        <u/>
        <sz val="10"/>
        <rFont val="Arial"/>
        <family val="2"/>
      </rPr>
      <t>School Roster Repor</t>
    </r>
    <r>
      <rPr>
        <b/>
        <sz val="10"/>
        <rFont val="Arial"/>
        <family val="2"/>
      </rPr>
      <t>t</t>
    </r>
    <r>
      <rPr>
        <sz val="10"/>
        <rFont val="Arial"/>
        <family val="2"/>
      </rPr>
      <t xml:space="preserve"> section of the Processing Rules - Reporting document for Science and/or Social Studies.</t>
    </r>
  </si>
  <si>
    <r>
      <t>If field value = "Y", then student will appear on the ELA and Math Student Roster.
The ELA/Math on Roster flag will be set to "Y",  if the student meets the selection criteria defined within the</t>
    </r>
    <r>
      <rPr>
        <u/>
        <sz val="10"/>
        <rFont val="Arial"/>
        <family val="2"/>
      </rPr>
      <t xml:space="preserve"> </t>
    </r>
    <r>
      <rPr>
        <b/>
        <u/>
        <sz val="10"/>
        <rFont val="Arial"/>
        <family val="2"/>
      </rPr>
      <t>School Roster Report</t>
    </r>
    <r>
      <rPr>
        <sz val="10"/>
        <rFont val="Arial"/>
        <family val="2"/>
      </rPr>
      <t xml:space="preserve"> section of the Processing Rules  - Reporting document for ELA and/or Math.</t>
    </r>
  </si>
  <si>
    <r>
      <t xml:space="preserve">If field value = "Y", then student will appear on the ELA and Math SR.
The SR for ELA/Math flag will be set to "Y",  if the student meets the selection criteria defined within the </t>
    </r>
    <r>
      <rPr>
        <b/>
        <u/>
        <sz val="10"/>
        <rFont val="Arial"/>
        <family val="2"/>
      </rPr>
      <t>Student Repor</t>
    </r>
    <r>
      <rPr>
        <b/>
        <sz val="10"/>
        <rFont val="Arial"/>
        <family val="2"/>
      </rPr>
      <t>t</t>
    </r>
    <r>
      <rPr>
        <sz val="10"/>
        <rFont val="Arial"/>
        <family val="2"/>
      </rPr>
      <t xml:space="preserve"> section of the Processing Rules - Reporting document for ELA and/or Math.</t>
    </r>
  </si>
  <si>
    <r>
      <t xml:space="preserve">If field value = "Y", then student will appear on the Science and Social Studies SR.
The SR for Science/Social Studies flag will be set to "Y",  if the student meets the selection criteria defined within the </t>
    </r>
    <r>
      <rPr>
        <b/>
        <u/>
        <sz val="10"/>
        <rFont val="Arial"/>
        <family val="2"/>
      </rPr>
      <t>Student Report</t>
    </r>
    <r>
      <rPr>
        <sz val="10"/>
        <rFont val="Arial"/>
        <family val="2"/>
      </rPr>
      <t xml:space="preserve"> section of the Processing Rules - Reporting document for Science and/or Social Studies.</t>
    </r>
  </si>
  <si>
    <r>
      <t>If field value = "Y", then student will appear on the Student Label.
The Student Label flag will be set to "Y" if the student meets the selection criteria defined within the</t>
    </r>
    <r>
      <rPr>
        <b/>
        <u/>
        <sz val="10"/>
        <rFont val="Arial"/>
        <family val="2"/>
      </rPr>
      <t xml:space="preserve"> Student Label </t>
    </r>
    <r>
      <rPr>
        <sz val="10"/>
        <rFont val="Arial"/>
        <family val="2"/>
      </rPr>
      <t>section of the Processing Rules - Reporting document.</t>
    </r>
  </si>
  <si>
    <t>Document Name</t>
  </si>
  <si>
    <t>LDE SFTP Location</t>
  </si>
  <si>
    <t>DRC Location</t>
  </si>
  <si>
    <t>Common Louisiana Processing Rules - Reporting</t>
  </si>
  <si>
    <t>Louisiana/Accountability Data/Accountability Codes Chart/YYYY-YYYY/</t>
  </si>
  <si>
    <t>Accountability Codes for Testing</t>
  </si>
  <si>
    <r>
      <rPr>
        <b/>
        <sz val="10"/>
        <rFont val="Arial"/>
        <family val="2"/>
      </rPr>
      <t>(Summer)</t>
    </r>
    <r>
      <rPr>
        <sz val="10"/>
        <rFont val="Arial"/>
        <family val="2"/>
      </rPr>
      <t xml:space="preserve">  Added a "Reference Locations" tab to show the SFTP and DRC locations of documents referred to in the LDESTD File Layout.</t>
    </r>
  </si>
  <si>
    <r>
      <rPr>
        <b/>
        <sz val="10"/>
        <rFont val="Arial"/>
        <family val="2"/>
      </rPr>
      <t>(Summer</t>
    </r>
    <r>
      <rPr>
        <sz val="10"/>
        <rFont val="Arial"/>
        <family val="2"/>
      </rPr>
      <t>)  Removed the reference to the actual location of the Accountability Codes for Testing document statement  as the location is now shown on the Reference Location tab.  (Pos. 299-300 and 2051-2058)</t>
    </r>
  </si>
  <si>
    <r>
      <t xml:space="preserve">School-level flags set per the LDE School Master Files according to the Assess Group Code of the student's district and school.
Refer to the </t>
    </r>
    <r>
      <rPr>
        <b/>
        <u/>
        <sz val="10"/>
        <rFont val="Arial"/>
        <family val="2"/>
      </rPr>
      <t>Reporting Summarization and Delivery Table</t>
    </r>
    <r>
      <rPr>
        <sz val="10"/>
        <rFont val="Arial"/>
        <family val="2"/>
      </rPr>
      <t xml:space="preserve"> and the </t>
    </r>
    <r>
      <rPr>
        <b/>
        <u/>
        <sz val="10"/>
        <rFont val="Arial"/>
        <family val="2"/>
      </rPr>
      <t>Table of District/School Types Included on Each Report</t>
    </r>
    <r>
      <rPr>
        <sz val="10"/>
        <rFont val="Arial"/>
        <family val="2"/>
      </rPr>
      <t xml:space="preserve"> in the Common Louisiana Processing Rules - Reporting document for further details.</t>
    </r>
  </si>
  <si>
    <r>
      <rPr>
        <b/>
        <sz val="10"/>
        <rFont val="Arial"/>
        <family val="2"/>
      </rPr>
      <t xml:space="preserve">(Summer) (Logic Change)  </t>
    </r>
    <r>
      <rPr>
        <sz val="10"/>
        <rFont val="Arial"/>
        <family val="2"/>
      </rPr>
      <t>Removed (S) for Summer  in the Administration column  (Reference 2015-2016 for School Roster ELA/Math and School Roster - Science/Social Studies) as we will not be doing School Rosters in LAA 2 Summer.</t>
    </r>
  </si>
  <si>
    <t>http://drcdirect/informationsystems/eis/dteam/Louisiana/Common Louisiana &lt;Admin&gt;/Reporting/</t>
  </si>
  <si>
    <t>Louisiana/&lt;YYYY&gt; - LAA 2 &lt;Admin&gt;/Processing Rules - Final</t>
  </si>
  <si>
    <t>http://drcdirect/informationsystems/eis/dteam/Louisiana/Accountability/</t>
  </si>
  <si>
    <t>LAA 2 Processing Rules - Scoring</t>
  </si>
  <si>
    <t>LAA 2 Processing Rules - Reporting</t>
  </si>
  <si>
    <t>http://drcdirect/informationsystems/eis/dteam/Louisiana/LAA 2 &lt;Admin&gt;/</t>
  </si>
  <si>
    <t>DRC Location &lt;Admin&gt; = “Spring”, “Summer”, or “Fall”</t>
  </si>
  <si>
    <t>LDE SFTP &lt;Admin&gt; = "Spring", "Summer Retest", "Fall Retest"</t>
  </si>
  <si>
    <r>
      <rPr>
        <b/>
        <sz val="10"/>
        <rFont val="Arial"/>
        <family val="2"/>
      </rPr>
      <t>Spring (Logic Change)</t>
    </r>
    <r>
      <rPr>
        <sz val="10"/>
        <rFont val="Arial"/>
        <family val="2"/>
      </rPr>
      <t xml:space="preserve"> Updated the "Include in Researcher file?" and "Include in LDE Staff &amp; Contractors" file from N to Y in  (Pos.2020, 2021-2026, 2027-2029 - LAP Scholarship Student Flag, LAP Scholarship Site Code and LAP Residence_LEA).</t>
    </r>
  </si>
  <si>
    <r>
      <t xml:space="preserve">Total raw score for Science.
Refer to the </t>
    </r>
    <r>
      <rPr>
        <b/>
        <u/>
        <sz val="10"/>
        <rFont val="Arial"/>
        <family val="2"/>
      </rPr>
      <t>Resulting LAA2LDESTD Values by Subject section</t>
    </r>
    <r>
      <rPr>
        <sz val="10"/>
        <rFont val="Arial"/>
        <family val="2"/>
      </rPr>
      <t xml:space="preserve"> within the Processing Rules - Scoring document for the logic used to set the Raw Score value.</t>
    </r>
  </si>
  <si>
    <r>
      <t xml:space="preserve">Total raw score for Social Studies.
Refer to the </t>
    </r>
    <r>
      <rPr>
        <b/>
        <u/>
        <sz val="10"/>
        <rFont val="Arial"/>
        <family val="2"/>
      </rPr>
      <t>Resulting LAA2LDESTD Values by Subject</t>
    </r>
    <r>
      <rPr>
        <sz val="10"/>
        <rFont val="Arial"/>
        <family val="2"/>
      </rPr>
      <t xml:space="preserve"> section within the Processing Rules - Scoring document for the logic used to set the Raw Score value.</t>
    </r>
  </si>
  <si>
    <t>Handscoring Complete Flags</t>
  </si>
  <si>
    <t>Handscoring Complete Flag - ELA</t>
  </si>
  <si>
    <t>Y = Handscoring is complete
N = Handscoring is not complete</t>
  </si>
  <si>
    <t>The Handscoring Complete Flag for the subject will be set to "Y" if handscoring has been completed for the subject.</t>
  </si>
  <si>
    <t>Handscoring Complete Flag - Math</t>
  </si>
  <si>
    <t>Handscoring Complete Flag - Science</t>
  </si>
  <si>
    <t xml:space="preserve">Handscoring Complete Flag - Social Studies </t>
  </si>
  <si>
    <r>
      <rPr>
        <b/>
        <sz val="10"/>
        <color theme="1"/>
        <rFont val="Arial"/>
        <family val="2"/>
      </rPr>
      <t xml:space="preserve">(Summer) (Logic Change) </t>
    </r>
    <r>
      <rPr>
        <sz val="10"/>
        <color theme="1"/>
        <rFont val="Arial"/>
        <family val="2"/>
      </rPr>
      <t>Four new fields were added in positions, 1938, 1939, 1940, and 1941 called "Handscoring Complete Flag - &lt;Subject&gt;" These fields will be set to "Y" when Handscoring is complete for a subject.</t>
    </r>
  </si>
  <si>
    <r>
      <rPr>
        <b/>
        <sz val="10"/>
        <rFont val="Arial"/>
        <family val="2"/>
      </rPr>
      <t>(Summer) (Logic Change)</t>
    </r>
    <r>
      <rPr>
        <sz val="10"/>
        <rFont val="Arial"/>
        <family val="2"/>
      </rPr>
      <t xml:space="preserve">   The filler field 1942-1951 was changed from a length of 14 to 10 due to Handscoring Complete Flag using 4 positions. </t>
    </r>
  </si>
  <si>
    <r>
      <rPr>
        <b/>
        <sz val="10"/>
        <color theme="1"/>
        <rFont val="Arial"/>
        <family val="2"/>
      </rPr>
      <t xml:space="preserve">(Summer) (Logic Change) </t>
    </r>
    <r>
      <rPr>
        <sz val="10"/>
        <color theme="1"/>
        <rFont val="Arial"/>
        <family val="2"/>
      </rPr>
      <t xml:space="preserve">The note "Value is set to zero (000.0) on the Equating file for PS if the subject's handscoring is incomplete" was removed from the Raw Score Total - &lt;Subject&gt; fields in positions 1504-1508, 1708-1712, 1776-1780, and 1863-1867. We will no longer set raw scores to "000.0" when handscoring is not complete instead PS will use the new Handscoring Complete flag fields by subject to only include those with the flag set to "Y" when equating. </t>
    </r>
  </si>
  <si>
    <r>
      <rPr>
        <b/>
        <sz val="10"/>
        <rFont val="Arial"/>
        <family val="2"/>
      </rPr>
      <t xml:space="preserve">(Fall) </t>
    </r>
    <r>
      <rPr>
        <sz val="10"/>
        <rFont val="Arial"/>
        <family val="2"/>
      </rPr>
      <t xml:space="preserve"> Updated header to "Project: 2013 LAA 2 Fall".</t>
    </r>
  </si>
  <si>
    <t>LAP Twin Flag</t>
  </si>
  <si>
    <r>
      <rPr>
        <b/>
        <sz val="10"/>
        <rFont val="Arial"/>
        <family val="2"/>
      </rPr>
      <t xml:space="preserve">(Spring 2014)  </t>
    </r>
    <r>
      <rPr>
        <sz val="10"/>
        <rFont val="Arial"/>
        <family val="2"/>
      </rPr>
      <t>Updated the year value in the Project Name to "2014".</t>
    </r>
  </si>
  <si>
    <r>
      <rPr>
        <b/>
        <sz val="10"/>
        <rFont val="Arial"/>
        <family val="2"/>
      </rPr>
      <t>(Spring 2014) (Logic Change)</t>
    </r>
    <r>
      <rPr>
        <sz val="10"/>
        <rFont val="Arial"/>
        <family val="2"/>
      </rPr>
      <t xml:space="preserve">  Removed Bubbled Special Education Exceptionality Category "Profound Mental Disability"  (Pos. 194) and changed it to FILLER.  </t>
    </r>
  </si>
  <si>
    <r>
      <rPr>
        <b/>
        <sz val="10"/>
        <rFont val="Arial"/>
        <family val="2"/>
      </rPr>
      <t xml:space="preserve">(Spring 2014) (Logic Change)  </t>
    </r>
    <r>
      <rPr>
        <sz val="10"/>
        <rFont val="Arial"/>
        <family val="2"/>
      </rPr>
      <t>Removed #19 "Profound Mental Disability" from the possible values for Summarized Special Education Exceptionality Category. (Pos. 308-309)</t>
    </r>
  </si>
  <si>
    <r>
      <rPr>
        <b/>
        <sz val="10"/>
        <rFont val="Arial"/>
        <family val="2"/>
      </rPr>
      <t>(Spring 2014) (Logic Change)</t>
    </r>
    <r>
      <rPr>
        <sz val="10"/>
        <rFont val="Arial"/>
        <family val="2"/>
      </rPr>
      <t xml:space="preserve"> Removed "19-Profound Mental Disability" as a possible value for the LAP Exceptionality Category. (Pos 317-318). </t>
    </r>
  </si>
  <si>
    <t>Y = Indicated as one of the twins
N = Not a twin
Blank</t>
  </si>
  <si>
    <r>
      <rPr>
        <b/>
        <sz val="10"/>
        <color theme="1"/>
        <rFont val="Arial"/>
        <family val="2"/>
      </rPr>
      <t>(Spring 2014)</t>
    </r>
    <r>
      <rPr>
        <sz val="10"/>
        <color theme="1"/>
        <rFont val="Arial"/>
        <family val="2"/>
      </rPr>
      <t xml:space="preserve"> </t>
    </r>
    <r>
      <rPr>
        <b/>
        <sz val="10"/>
        <color theme="1"/>
        <rFont val="Arial"/>
        <family val="2"/>
      </rPr>
      <t>(Logic Change)</t>
    </r>
    <r>
      <rPr>
        <sz val="10"/>
        <color theme="1"/>
        <rFont val="Arial"/>
        <family val="2"/>
      </rPr>
      <t xml:space="preserve">  Add "LAP Twin Flag" (Pos. 2030).
Change (Pos. 2031-2040) to Filler.   The LAP Twin Flag will NOT be included in the Researcher File, but WILL BE included in the Staff &amp; Contractors File.</t>
    </r>
  </si>
  <si>
    <r>
      <rPr>
        <b/>
        <sz val="10"/>
        <rFont val="Arial"/>
        <family val="2"/>
      </rPr>
      <t>(Spring 2014)</t>
    </r>
    <r>
      <rPr>
        <sz val="10"/>
        <rFont val="Arial"/>
        <family val="2"/>
      </rPr>
      <t xml:space="preserve"> Added "99" as a possible value to the Summarized Date of Birth - Month (Pos. 145-146) and the Summarized Date of Birth - Day (Pos. 147-148) and a business rule to note that this value is only valid after the Online Correction System (OCS) has been applied since this is a valid OCS value and will appear in post OCS files. </t>
    </r>
  </si>
  <si>
    <r>
      <rPr>
        <b/>
        <sz val="10"/>
        <rFont val="Arial"/>
        <family val="2"/>
      </rPr>
      <t>(Spring 2014)</t>
    </r>
    <r>
      <rPr>
        <sz val="10"/>
        <rFont val="Arial"/>
        <family val="2"/>
      </rPr>
      <t xml:space="preserve"> Updated capitalization on Math Standard 1 (pos. 1728-1731) Number and </t>
    </r>
    <r>
      <rPr>
        <sz val="10"/>
        <color rgb="FFFF0000"/>
        <rFont val="Arial"/>
        <family val="2"/>
      </rPr>
      <t>N</t>
    </r>
    <r>
      <rPr>
        <sz val="10"/>
        <rFont val="Arial"/>
        <family val="2"/>
      </rPr>
      <t xml:space="preserve">umber </t>
    </r>
    <r>
      <rPr>
        <sz val="10"/>
        <color rgb="FFFF0000"/>
        <rFont val="Arial"/>
        <family val="2"/>
      </rPr>
      <t>R</t>
    </r>
    <r>
      <rPr>
        <sz val="10"/>
        <rFont val="Arial"/>
        <family val="2"/>
      </rPr>
      <t xml:space="preserve">elations to reflect same as the Scoring document.  Also updated capitalization on Math Standard 5 (pos 1744-1747) Data </t>
    </r>
    <r>
      <rPr>
        <sz val="10"/>
        <color rgb="FFFF0000"/>
        <rFont val="Arial"/>
        <family val="2"/>
      </rPr>
      <t>A</t>
    </r>
    <r>
      <rPr>
        <sz val="10"/>
        <rFont val="Arial"/>
        <family val="2"/>
      </rPr>
      <t xml:space="preserve">nalysis, </t>
    </r>
    <r>
      <rPr>
        <sz val="10"/>
        <color rgb="FFFF0000"/>
        <rFont val="Arial"/>
        <family val="2"/>
      </rPr>
      <t>P</t>
    </r>
    <r>
      <rPr>
        <sz val="10"/>
        <rFont val="Arial"/>
        <family val="2"/>
      </rPr>
      <t xml:space="preserve">robability, and </t>
    </r>
    <r>
      <rPr>
        <sz val="10"/>
        <color rgb="FFFF0000"/>
        <rFont val="Arial"/>
        <family val="2"/>
      </rPr>
      <t>D</t>
    </r>
    <r>
      <rPr>
        <sz val="10"/>
        <rFont val="Arial"/>
        <family val="2"/>
      </rPr>
      <t xml:space="preserve">iscrete </t>
    </r>
    <r>
      <rPr>
        <sz val="10"/>
        <color rgb="FFFF0000"/>
        <rFont val="Arial"/>
        <family val="2"/>
      </rPr>
      <t>M</t>
    </r>
    <r>
      <rPr>
        <sz val="10"/>
        <rFont val="Arial"/>
        <family val="2"/>
      </rPr>
      <t xml:space="preserve">ath to reflect same as the Scoring document. </t>
    </r>
  </si>
  <si>
    <t>01-12
--
99</t>
  </si>
  <si>
    <t xml:space="preserve">00-39  (0-9 or - in any position)
99
</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</si>
  <si>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"99" is only valid after the Online Corrections System (OCS) has been applied.</t>
    </r>
  </si>
  <si>
    <r>
      <rPr>
        <b/>
        <sz val="10"/>
        <rFont val="Arial"/>
        <family val="2"/>
      </rPr>
      <t>(Spring 2014) (Logic change)</t>
    </r>
    <r>
      <rPr>
        <sz val="10"/>
        <rFont val="Arial"/>
        <family val="2"/>
      </rPr>
      <t xml:space="preserve"> Added "C" to the Field Use column for LAP LDE Unique ID GUID in pos. 2081-2090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Note: The values are only updated with the value from the May LAP file if the LDE Unique ID GUID value was blank prior to applying the May LAP file.</t>
    </r>
  </si>
  <si>
    <r>
      <rPr>
        <b/>
        <sz val="10"/>
        <rFont val="Arial"/>
        <family val="2"/>
      </rPr>
      <t>(Spring 2014)(Logic Change)</t>
    </r>
    <r>
      <rPr>
        <sz val="10"/>
        <rFont val="Arial"/>
        <family val="2"/>
      </rPr>
      <t xml:space="preserve"> Pos. 2027-2029, LAP Residence_LEA field was changed to FILLER. This field is no longer populated in the LAP file.</t>
    </r>
  </si>
  <si>
    <r>
      <rPr>
        <b/>
        <sz val="10"/>
        <rFont val="Arial"/>
        <family val="2"/>
      </rPr>
      <t xml:space="preserve">(Spring 2014) </t>
    </r>
    <r>
      <rPr>
        <sz val="10"/>
        <rFont val="Arial"/>
        <family val="2"/>
      </rPr>
      <t xml:space="preserve"> Clarified the rules for when SEM, Upper and Lower Bound Scaled Score  for ELA, MTH, SCI, SOC would be blank.  The rule should reflect that voids will also cause these SEM values to be blank.  The original text stating that SEM, Upper and Lower Bound scores are "blank if raw score = blank" is not totally accurate as a void would make the raw score be "0" not blank, and the rule would not hold true.  The rule should cover both situations and state that SEM, Upper and Lower Bound scores  are found in the Raw to Scale Score tables and they will be blank if Test Taken = N (causing blank raw score) or Summarized Void=Y.  This is consistent with how LEAP covers SEM.   (Ref.1512-1520 -ELA, 1716-1724 MTH, 1784-1792 SCI, 1871-1879 SOC)
</t>
    </r>
  </si>
  <si>
    <r>
      <rPr>
        <b/>
        <sz val="10"/>
        <rFont val="Arial"/>
        <family val="2"/>
      </rPr>
      <t>(Summer 2014)</t>
    </r>
    <r>
      <rPr>
        <sz val="10"/>
        <rFont val="Arial"/>
        <family val="2"/>
      </rPr>
      <t xml:space="preserve"> No new changes</t>
    </r>
  </si>
  <si>
    <r>
      <t xml:space="preserve">Total raw score for MATH.
Refer to the </t>
    </r>
    <r>
      <rPr>
        <b/>
        <u/>
        <sz val="10"/>
        <rFont val="Arial"/>
        <family val="2"/>
      </rPr>
      <t>Resulting LAA2LDESTD Values by Subject</t>
    </r>
    <r>
      <rPr>
        <sz val="10"/>
        <rFont val="Arial"/>
        <family val="2"/>
      </rPr>
      <t xml:space="preserve"> section within the Processing Rules - Scoring document for the logic used to set the Raw Score value.</t>
    </r>
  </si>
  <si>
    <r>
      <t>(Summer 2014)</t>
    </r>
    <r>
      <rPr>
        <sz val="10"/>
        <rFont val="Arial"/>
        <family val="2"/>
      </rPr>
      <t xml:space="preserve"> Added an "O" to the Admin Column for the LAP Twin Flag (Pos. 2030). This field will only be populated in Spring since we do not precode in summer or fall.</t>
    </r>
  </si>
  <si>
    <t>Total score of all writing dimensions.  (This is same as subtest 1: Writing)
Blank when Raw Score Total for ELA is blank.
000.0  (zero) is a valid score.</t>
  </si>
  <si>
    <r>
      <t xml:space="preserve">(Fall 2014) </t>
    </r>
    <r>
      <rPr>
        <sz val="10"/>
        <rFont val="Arial"/>
        <family val="2"/>
      </rPr>
      <t>No new changes</t>
    </r>
  </si>
  <si>
    <t>Project: 2015 LAA 2 Spring</t>
  </si>
  <si>
    <r>
      <rPr>
        <strike/>
        <sz val="10"/>
        <color rgb="FFFF0000"/>
        <rFont val="Arial"/>
        <family val="2"/>
      </rPr>
      <t>04=Grade 4
05=Grade 5
06=Grade 6
07=Grade 7
08=Grade 8</t>
    </r>
    <r>
      <rPr>
        <sz val="10"/>
        <rFont val="Arial"/>
        <family val="2"/>
      </rPr>
      <t xml:space="preserve">
10=Grade 10  
11=Grade 11   
 </t>
    </r>
  </si>
  <si>
    <r>
      <t>Student's Grade:</t>
    </r>
    <r>
      <rPr>
        <sz val="10"/>
        <rFont val="Arial"/>
        <family val="2"/>
      </rPr>
      <t xml:space="preserve">
Values are derived from type of booklet for a hand coded document, or from LDE Precode file for a precoded document.
For students who tested in a grade that differs from their grade on the LDE Precode file, the grade level of the document will be populated here.
</t>
    </r>
    <r>
      <rPr>
        <strike/>
        <sz val="10"/>
        <color rgb="FFFF0000"/>
        <rFont val="Arial"/>
        <family val="2"/>
      </rPr>
      <t xml:space="preserve">
Only grades 10 and 11 are valid for a Retest.</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 answer document.</t>
    </r>
  </si>
  <si>
    <t>D = student no longer enrolled in Louisiana schools
        since submission of Nov. LAP file.
N = student newly enrolled in Louisiana schools 
        since submission of Nov. LAP file.
Blank = student enrollment status unchanged since 
        submission of Nov. LAP file.</t>
  </si>
  <si>
    <r>
      <rPr>
        <strike/>
        <sz val="10"/>
        <color rgb="FFFF0000"/>
        <rFont val="Arial"/>
        <family val="2"/>
      </rPr>
      <t>04 = Grade 4
05 = Grade 5
06 = Grade 6
07 = Grade 7
08 = Grade 8</t>
    </r>
    <r>
      <rPr>
        <sz val="10"/>
        <rFont val="Arial"/>
        <family val="2"/>
      </rPr>
      <t xml:space="preserve">
10 = Grade 10
11 = Grade 11
Blank</t>
    </r>
  </si>
  <si>
    <r>
      <t xml:space="preserve">This represents the answer document that the student took the test on.  It is derived from the first position of the lithocode for the document.
Blank when document was not returned.
</t>
    </r>
    <r>
      <rPr>
        <strike/>
        <sz val="10"/>
        <color rgb="FFFF0000"/>
        <rFont val="Arial"/>
        <family val="2"/>
      </rPr>
      <t>Only grades 10 and 11 are valid for the Retests.</t>
    </r>
  </si>
  <si>
    <r>
      <rPr>
        <strike/>
        <sz val="10"/>
        <color rgb="FFFF0000"/>
        <rFont val="Arial"/>
        <family val="2"/>
      </rPr>
      <t>04 = Grade 4
05 = Grade 5
06 = Grade 6
07 = Grade 7
08 = Grade 8</t>
    </r>
    <r>
      <rPr>
        <sz val="10"/>
        <rFont val="Arial"/>
        <family val="2"/>
      </rPr>
      <t xml:space="preserve">
10 = Grade 10
11 = Grade 11
Blank </t>
    </r>
  </si>
  <si>
    <r>
      <t xml:space="preserve">
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a list of codes applicable to LAA 2.
</t>
    </r>
  </si>
  <si>
    <r>
      <t xml:space="preserve">Amount of error in the student's scale score as defined by Psychometrics.
From the Raw to Scale Score tables.
</t>
    </r>
    <r>
      <rPr>
        <sz val="10"/>
        <rFont val="Arial"/>
        <family val="2"/>
      </rPr>
      <t>Blank if the student's Summarized Void Flag - ELA = "Y", or if the Test Taken Flag - ELA = "N".</t>
    </r>
  </si>
  <si>
    <r>
      <t xml:space="preserve">From the Raw to Scale Score tables.
</t>
    </r>
    <r>
      <rPr>
        <strike/>
        <sz val="10"/>
        <rFont val="Arial"/>
        <family val="2"/>
      </rPr>
      <t xml:space="preserve">
</t>
    </r>
    <r>
      <rPr>
        <sz val="10"/>
        <rFont val="Arial"/>
        <family val="2"/>
      </rPr>
      <t>Blank if the student's Summarized Void Flag - ELA = "Y", or if the Test Taken Flag - ELA = "N".</t>
    </r>
  </si>
  <si>
    <r>
      <t xml:space="preserve">Total raw score for ELA = (Multiple Choice Items + Constructed Response Items + Total Score for Writing) which includes any automatic or partial credit applied.
Refer to the </t>
    </r>
    <r>
      <rPr>
        <b/>
        <u/>
        <sz val="10"/>
        <rFont val="Arial"/>
        <family val="2"/>
      </rPr>
      <t>Resulting LAA2LDESTD Values by Subject</t>
    </r>
    <r>
      <rPr>
        <sz val="10"/>
        <rFont val="Arial"/>
        <family val="2"/>
      </rPr>
      <t xml:space="preserve"> section within the Processing Rules - Scoring document for the logic used to set the Raw Score Value.</t>
    </r>
  </si>
  <si>
    <t>Subtest 1: Writing</t>
  </si>
  <si>
    <t>Subtest 2: Using Information Resources</t>
  </si>
  <si>
    <t xml:space="preserve">Subtest 3: Reading and Responding </t>
  </si>
  <si>
    <t>Subtest 4: Proofreading</t>
  </si>
  <si>
    <t>Standard 1: Read, comprehend, and respond</t>
  </si>
  <si>
    <t>Standard 2: Write competently</t>
  </si>
  <si>
    <t>Standard 3: Use conventions of language</t>
  </si>
  <si>
    <t>Standard 4: Not assessed</t>
  </si>
  <si>
    <t>Standard 5: Locate, select, and synthesize information</t>
  </si>
  <si>
    <t>Standard 6: Read, analyze, and respond to literature</t>
  </si>
  <si>
    <t>Standard 7: Apply reasoning and problem solving skills</t>
  </si>
  <si>
    <t>Dimension 1: Composing</t>
  </si>
  <si>
    <t>Dimension 2: Style/audience awareness</t>
  </si>
  <si>
    <t xml:space="preserve">Total correct ELA constructed response "CR"  items.
Blank when Raw Score Total - ELA is blank. </t>
  </si>
  <si>
    <r>
      <t xml:space="preserve">Amount of error in the student's scale score as defined by Psychometrics.
From the Raw to Scale Score tables.
</t>
    </r>
    <r>
      <rPr>
        <strike/>
        <sz val="10"/>
        <rFont val="Arial"/>
        <family val="2"/>
      </rPr>
      <t xml:space="preserve">
</t>
    </r>
    <r>
      <rPr>
        <sz val="10"/>
        <rFont val="Arial"/>
        <family val="2"/>
      </rPr>
      <t>Blank if the student's Summarized Void Flag - MTH = "Y", or if the Test Taken Flag - MTH = "N".</t>
    </r>
  </si>
  <si>
    <r>
      <t xml:space="preserve">From the Raw to Scale Score tables.
</t>
    </r>
    <r>
      <rPr>
        <strike/>
        <sz val="10"/>
        <rFont val="Arial"/>
        <family val="2"/>
      </rPr>
      <t xml:space="preserve">
</t>
    </r>
    <r>
      <rPr>
        <sz val="10"/>
        <rFont val="Arial"/>
        <family val="2"/>
      </rPr>
      <t>Blank if the student's Summarized Void Flag - MTH = "Y", or if the Test Taken Flag - MTH = "N".</t>
    </r>
  </si>
  <si>
    <t>Standard 1: Number and Number Relations</t>
  </si>
  <si>
    <t>Standard 2: Algebra</t>
  </si>
  <si>
    <t>Standard 3: Measurement</t>
  </si>
  <si>
    <t>Standard 4: Geometry</t>
  </si>
  <si>
    <t>Standard 5: Data Analysis, Probability, &amp; Discrete Math</t>
  </si>
  <si>
    <t>Standard 6: Patterns, Relations, &amp; Functions</t>
  </si>
  <si>
    <t>Subtest 1: Multiple-Choice Items</t>
  </si>
  <si>
    <t>Amount of error in the student's scale score as defined by Psychometrics.
From the Raw to Scale Score tables.
Blank if the student's Summarized Void Flag - SCI = "Y", or if the Test Taken Flag - SCI = "N".</t>
  </si>
  <si>
    <r>
      <t xml:space="preserve">From the Raw to Scale Score tables.
</t>
    </r>
    <r>
      <rPr>
        <strike/>
        <sz val="10"/>
        <rFont val="Arial"/>
        <family val="2"/>
      </rPr>
      <t xml:space="preserve">
</t>
    </r>
    <r>
      <rPr>
        <sz val="10"/>
        <rFont val="Arial"/>
        <family val="2"/>
      </rPr>
      <t>Blank if the student's Summarized Void Flag - SCI = "Y", or if the Test Taken Flag - SCI = "N".</t>
    </r>
  </si>
  <si>
    <t>Standard 1: Science as Inquiry</t>
  </si>
  <si>
    <t>Standard 2: Physical Science</t>
  </si>
  <si>
    <t>Standard 3: Life Science</t>
  </si>
  <si>
    <t>Standard 4: Earth and Space Science</t>
  </si>
  <si>
    <t>Standard 5: Science and the Environment</t>
  </si>
  <si>
    <t>Subtest 2: Short Answer Items</t>
  </si>
  <si>
    <t>Total correct Science constructed-response items (includes short answer items and essay).
Blank when Raw Score Total - Science is blank.</t>
  </si>
  <si>
    <r>
      <t xml:space="preserve">Amount of error in the student's scale score as defined by Psychometrics.
From the Raw to Scale Score tables.
</t>
    </r>
    <r>
      <rPr>
        <strike/>
        <sz val="10"/>
        <rFont val="Arial"/>
        <family val="2"/>
      </rPr>
      <t xml:space="preserve">
</t>
    </r>
    <r>
      <rPr>
        <sz val="10"/>
        <rFont val="Arial"/>
        <family val="2"/>
      </rPr>
      <t>Blank if the student's Summarized Void Flag - SOC = "Y", or if the Test Taken Flag - SOC= "N".</t>
    </r>
  </si>
  <si>
    <r>
      <t xml:space="preserve">From the Raw to Scale Score tables.
</t>
    </r>
    <r>
      <rPr>
        <sz val="10"/>
        <rFont val="Arial"/>
        <family val="2"/>
      </rPr>
      <t xml:space="preserve">
Blank if the student's Summarized Void Flag - SOC = "Y", or if the Test Taken Flag - SOC = "N".</t>
    </r>
  </si>
  <si>
    <t>Standard 1: Geography</t>
  </si>
  <si>
    <t>Standard 2: Civics</t>
  </si>
  <si>
    <t>Standard 3: Economics</t>
  </si>
  <si>
    <t>Standard 4: History</t>
  </si>
  <si>
    <t>Summary of District Voids and Plagiarism Voids in each subject.  
The Summarized Void flag will be "Y" for a subject, if the student has a row in the LDE approved Void .csv file for the subject."</t>
  </si>
  <si>
    <r>
      <rPr>
        <strike/>
        <sz val="10"/>
        <color rgb="FFFF0000"/>
        <rFont val="Arial"/>
        <family val="2"/>
      </rPr>
      <t>Refer to the Accountability Codes for Testing document for valid values.</t>
    </r>
    <r>
      <rPr>
        <sz val="10"/>
        <rFont val="Arial"/>
        <family val="2"/>
      </rPr>
      <t xml:space="preserve">
Refer to the </t>
    </r>
    <r>
      <rPr>
        <b/>
        <strike/>
        <u/>
        <sz val="10"/>
        <color rgb="FFFF0000"/>
        <rFont val="Arial"/>
        <family val="2"/>
      </rPr>
      <t>Bubbled and</t>
    </r>
    <r>
      <rPr>
        <b/>
        <u/>
        <sz val="10"/>
        <rFont val="Arial"/>
        <family val="2"/>
      </rPr>
      <t xml:space="preserve"> Updated Accountability Codes</t>
    </r>
    <r>
      <rPr>
        <u/>
        <sz val="10"/>
        <rFont val="Arial"/>
        <family val="2"/>
      </rPr>
      <t xml:space="preserve"> </t>
    </r>
    <r>
      <rPr>
        <sz val="10"/>
        <rFont val="Arial"/>
        <family val="2"/>
      </rPr>
      <t xml:space="preserve">section of the Processing Rules - Scoring document for the logic for setting these values </t>
    </r>
    <r>
      <rPr>
        <strike/>
        <sz val="10"/>
        <color rgb="FFFF0000"/>
        <rFont val="Arial"/>
        <family val="2"/>
      </rPr>
      <t>(pre and post OCS)</t>
    </r>
    <r>
      <rPr>
        <sz val="10"/>
        <rFont val="Arial"/>
        <family val="2"/>
      </rPr>
      <t xml:space="preserve">. </t>
    </r>
    <r>
      <rPr>
        <sz val="10"/>
        <rFont val="Arial"/>
        <family val="2"/>
      </rPr>
      <t xml:space="preserve">
</t>
    </r>
    <r>
      <rPr>
        <strike/>
        <sz val="10"/>
        <color rgb="FFFF0000"/>
        <rFont val="Arial"/>
        <family val="2"/>
      </rPr>
      <t xml:space="preserve">
</t>
    </r>
    <r>
      <rPr>
        <b/>
        <strike/>
        <u/>
        <sz val="10"/>
        <color rgb="FFFF0000"/>
        <rFont val="Arial"/>
        <family val="2"/>
      </rPr>
      <t>Spring Grades 4-8:</t>
    </r>
    <r>
      <rPr>
        <strike/>
        <sz val="10"/>
        <color rgb="FFFF0000"/>
        <rFont val="Arial"/>
        <family val="2"/>
      </rPr>
      <t xml:space="preserve">
Refer to the Accountability Codes for Testing document for valid values.</t>
    </r>
    <r>
      <rPr>
        <sz val="10"/>
        <rFont val="Arial"/>
        <family val="2"/>
      </rPr>
      <t xml:space="preserve">
</t>
    </r>
    <r>
      <rPr>
        <b/>
        <strike/>
        <u/>
        <sz val="10"/>
        <color rgb="FFFF0000"/>
        <rFont val="Arial"/>
        <family val="2"/>
      </rPr>
      <t>Retests/Spring Gr. 10-11</t>
    </r>
    <r>
      <rPr>
        <sz val="10"/>
        <rFont val="Arial"/>
        <family val="2"/>
      </rPr>
      <t xml:space="preserve">
Blank unless populated with code 86 when applied by DRC. </t>
    </r>
  </si>
  <si>
    <t xml:space="preserve">Unique number generated by LDE and provided on the LAP file.  This is used to match students from the original LAP file with students from the updated LAP file.
As flagged on the LAP file.  
Blank for a hand-coded document that could not be matched back to the LAP file. </t>
  </si>
  <si>
    <t>01 = Not LEP
02 = LEP
Blank</t>
  </si>
  <si>
    <r>
      <rPr>
        <strike/>
        <sz val="10"/>
        <color rgb="FFFF0000"/>
        <rFont val="Arial"/>
        <family val="2"/>
      </rPr>
      <t xml:space="preserve">01-99
</t>
    </r>
    <r>
      <rPr>
        <sz val="10"/>
        <color rgb="FFFF0000"/>
        <rFont val="Arial"/>
        <family val="2"/>
      </rPr>
      <t>86</t>
    </r>
    <r>
      <rPr>
        <sz val="10"/>
        <rFont val="Arial"/>
        <family val="2"/>
      </rPr>
      <t xml:space="preserve">
Blank  </t>
    </r>
  </si>
  <si>
    <r>
      <rPr>
        <b/>
        <sz val="10"/>
        <color theme="1"/>
        <rFont val="Arial"/>
        <family val="2"/>
      </rPr>
      <t xml:space="preserve">(Spring 2015) (Logic change) </t>
    </r>
    <r>
      <rPr>
        <sz val="10"/>
        <color theme="1"/>
        <rFont val="Arial"/>
        <family val="2"/>
      </rPr>
      <t>Struck through "04" - "08" as possible values for Summarized Grade (Pos. 94-95). Only Grades 10 and 11 will test LAA 2 in Spring, Summer, and Fall. The note about only 10 and 11 testing in a retest was struck through since these are now the only possible values.</t>
    </r>
  </si>
  <si>
    <r>
      <rPr>
        <b/>
        <sz val="10"/>
        <color theme="1"/>
        <rFont val="Arial"/>
        <family val="2"/>
      </rPr>
      <t>(Spring 2015) (Logic change)</t>
    </r>
    <r>
      <rPr>
        <sz val="10"/>
        <color theme="1"/>
        <rFont val="Arial"/>
        <family val="2"/>
      </rPr>
      <t xml:space="preserve"> Struck through "04" - "08" as possible values for Document Grade (Pos. 170-171). Only Grades 10 and 11 will test LAA 2 in Spring, Summer, and Fall. The note about only 10 and 11 testing in a retest was struck through since these are now the only possible values.</t>
    </r>
  </si>
  <si>
    <r>
      <rPr>
        <b/>
        <sz val="10"/>
        <color theme="1"/>
        <rFont val="Arial"/>
        <family val="2"/>
      </rPr>
      <t>(Spring 2015) (Logic change)</t>
    </r>
    <r>
      <rPr>
        <sz val="10"/>
        <color theme="1"/>
        <rFont val="Arial"/>
        <family val="2"/>
      </rPr>
      <t xml:space="preserve"> Struck through "04" - "08" as possible values for LAP Grade Placement (Pos. 174-175). Only Grades 10 and 11 will test LAA 2 in Spring, Summer, and Fall.</t>
    </r>
  </si>
  <si>
    <r>
      <rPr>
        <b/>
        <sz val="10"/>
        <color theme="1"/>
        <rFont val="Arial"/>
        <family val="2"/>
      </rPr>
      <t xml:space="preserve">(Spring 2015) (Logic change) </t>
    </r>
    <r>
      <rPr>
        <sz val="10"/>
        <color theme="1"/>
        <rFont val="Arial"/>
        <family val="2"/>
      </rPr>
      <t>The Bubbled TA Number (Pos. 246-248), TA Last Name (Pos. 249-268), and TA First Name (Pos. 269-288) were changed to FILLER. TA information will no longer be captured on the Answer Documents.</t>
    </r>
  </si>
  <si>
    <r>
      <rPr>
        <b/>
        <sz val="10"/>
        <color theme="1"/>
        <rFont val="Arial"/>
        <family val="2"/>
      </rPr>
      <t xml:space="preserve">(Spring 2015) (Logic change) </t>
    </r>
    <r>
      <rPr>
        <sz val="10"/>
        <color theme="1"/>
        <rFont val="Arial"/>
        <family val="2"/>
      </rPr>
      <t>The Bubbled Accountability Code field (Pos.299-300) was changed to FILLER. Accountability codes were previously only captured on answer documents for grades 4-8.</t>
    </r>
  </si>
  <si>
    <r>
      <rPr>
        <b/>
        <sz val="10"/>
        <color theme="1"/>
        <rFont val="Arial"/>
        <family val="2"/>
      </rPr>
      <t xml:space="preserve">(Spring 2015) (Logic change) </t>
    </r>
    <r>
      <rPr>
        <sz val="10"/>
        <color theme="1"/>
        <rFont val="Arial"/>
        <family val="2"/>
      </rPr>
      <t xml:space="preserve"> Updated the Updated Accountability Code - &lt;Subject&gt; (Pos. 2051-2058) possible values to be "86" or Blank. Code "86" is the only valid accountability code for grades 10 and 11. The business rules were updated to reflect this.</t>
    </r>
  </si>
  <si>
    <r>
      <rPr>
        <b/>
        <sz val="10"/>
        <color theme="1"/>
        <rFont val="Arial"/>
        <family val="2"/>
      </rPr>
      <t xml:space="preserve">(Spring 2015) (Logic change) </t>
    </r>
    <r>
      <rPr>
        <sz val="10"/>
        <color theme="1"/>
        <rFont val="Arial"/>
        <family val="2"/>
      </rPr>
      <t>The Accoutnaiblity Achievement Level - &lt;Subject&gt; fields (Pos. 2068-2079) were changed to FILLER. These were previously only populated for Grades 4-8.</t>
    </r>
  </si>
  <si>
    <t>Y = student classified as a straggler
N = student not classified as a straggler</t>
  </si>
  <si>
    <r>
      <rPr>
        <b/>
        <sz val="10"/>
        <rFont val="Arial"/>
        <family val="2"/>
      </rPr>
      <t xml:space="preserve">(Spring 2015) (Logic change) </t>
    </r>
    <r>
      <rPr>
        <sz val="10"/>
        <rFont val="Arial"/>
        <family val="2"/>
      </rPr>
      <t>Removed the "Accountability Codes for Testing" document from the Reference Locations tab since it no longer applies to LAA 2.</t>
    </r>
  </si>
  <si>
    <r>
      <t xml:space="preserve">Refer to the </t>
    </r>
    <r>
      <rPr>
        <b/>
        <u/>
        <sz val="10"/>
        <rFont val="Arial"/>
        <family val="2"/>
      </rPr>
      <t>Constructed Response Items</t>
    </r>
    <r>
      <rPr>
        <sz val="10"/>
        <rFont val="Arial"/>
        <family val="2"/>
      </rPr>
      <t xml:space="preserve"> section within the Processing Rules - Scoring document for more information on assigning non-score codes.
Values 1-6 are codes indicating reader's reason for no score on all or part of the writing prompt.
The field is blank if no Non-Score Code was assigned.  (item was scorable)</t>
    </r>
  </si>
  <si>
    <t>Total  raw score for each SCI subtest.
Blank when Subtest is not assessed (zero points possible) or if Raw Score Total - Science is blank.</t>
  </si>
  <si>
    <t>Within each subject, indicates whether a student attempted any MC or CR type items on the test.
The MC/CR Taken Flag will be set to "0" if the subject was the secondary record involved in a score merge.</t>
  </si>
  <si>
    <r>
      <rPr>
        <b/>
        <sz val="10"/>
        <rFont val="Arial"/>
        <family val="2"/>
      </rPr>
      <t xml:space="preserve">(Spring 2015) (Logic change) </t>
    </r>
    <r>
      <rPr>
        <sz val="10"/>
        <rFont val="Arial"/>
        <family val="2"/>
      </rPr>
      <t>Updated Pos. 2021-2026, LAP Scholarship Site Code to be FILLER since this field was removed from the LAP file.</t>
    </r>
  </si>
  <si>
    <r>
      <rPr>
        <strike/>
        <sz val="10"/>
        <color rgb="FFFF0000"/>
        <rFont val="Arial"/>
        <family val="2"/>
      </rPr>
      <t>000000000-999999999
---------</t>
    </r>
    <r>
      <rPr>
        <sz val="10"/>
        <rFont val="Arial"/>
        <family val="2"/>
      </rPr>
      <t xml:space="preserve">
0-9, A-Z, or - in any position</t>
    </r>
  </si>
  <si>
    <r>
      <rPr>
        <b/>
        <sz val="10"/>
        <color theme="1"/>
        <rFont val="Arial"/>
        <family val="2"/>
      </rPr>
      <t xml:space="preserve">(Spring 2015) (Logic change) </t>
    </r>
    <r>
      <rPr>
        <sz val="10"/>
        <color theme="1"/>
        <rFont val="Arial"/>
        <family val="2"/>
      </rPr>
      <t>Updated the possible values in pos. 117-125, State ID, to note that alpha characters are possible.</t>
    </r>
  </si>
  <si>
    <r>
      <t>As flagged on the LAP file.
Blank for a hand-coded document that could not be matched back to the LAP file</t>
    </r>
    <r>
      <rPr>
        <sz val="10"/>
        <color rgb="FFFF0000"/>
        <rFont val="Arial"/>
        <family val="2"/>
      </rPr>
      <t>, or if the value was blank on the LAP file</t>
    </r>
    <r>
      <rPr>
        <sz val="10"/>
        <rFont val="Arial"/>
        <family val="2"/>
      </rPr>
      <t>.</t>
    </r>
  </si>
  <si>
    <r>
      <rPr>
        <b/>
        <sz val="10"/>
        <color theme="1"/>
        <rFont val="Arial"/>
        <family val="2"/>
      </rPr>
      <t xml:space="preserve">(Spring 2015) (Logic change) </t>
    </r>
    <r>
      <rPr>
        <sz val="10"/>
        <color theme="1"/>
        <rFont val="Arial"/>
        <family val="2"/>
      </rPr>
      <t>Updated the business rule in pos. 319, LAP Hispanic/Latino to note that this field will also be blank if the value on the LAP file is blank since blank was added as a possible value on the LAP file.</t>
    </r>
  </si>
  <si>
    <r>
      <t>E</t>
    </r>
    <r>
      <rPr>
        <strike/>
        <sz val="10"/>
        <color rgb="FFFF0000"/>
        <rFont val="Arial"/>
        <family val="2"/>
      </rPr>
      <t>, C</t>
    </r>
  </si>
  <si>
    <r>
      <rPr>
        <b/>
        <sz val="10"/>
        <rFont val="Arial"/>
        <family val="2"/>
      </rPr>
      <t xml:space="preserve">(Spring 2015) (Logic change) </t>
    </r>
    <r>
      <rPr>
        <sz val="10"/>
        <rFont val="Arial"/>
        <family val="2"/>
      </rPr>
      <t>Struck through the "C" in the Field Use column since LAA 2 will not use OCS in 2015.</t>
    </r>
  </si>
  <si>
    <r>
      <t xml:space="preserve">Summarized  </t>
    </r>
    <r>
      <rPr>
        <strike/>
        <sz val="10"/>
        <color rgb="FFFF0000"/>
        <rFont val="Arial"/>
        <family val="2"/>
      </rPr>
      <t>Lunch Status</t>
    </r>
    <r>
      <rPr>
        <sz val="10"/>
        <color rgb="FFFF0000"/>
        <rFont val="Arial"/>
        <family val="2"/>
      </rPr>
      <t xml:space="preserve"> Economically Disadvantaged</t>
    </r>
  </si>
  <si>
    <r>
      <t xml:space="preserve">LAP </t>
    </r>
    <r>
      <rPr>
        <strike/>
        <sz val="10"/>
        <color rgb="FFFF0000"/>
        <rFont val="Arial"/>
        <family val="2"/>
      </rPr>
      <t>Free/Reduced Lunch</t>
    </r>
    <r>
      <rPr>
        <sz val="10"/>
        <color rgb="FFFF0000"/>
        <rFont val="Arial"/>
        <family val="2"/>
      </rPr>
      <t xml:space="preserve"> Economically Disadvantaged</t>
    </r>
  </si>
  <si>
    <r>
      <t xml:space="preserve">Taken from </t>
    </r>
    <r>
      <rPr>
        <strike/>
        <sz val="10"/>
        <color rgb="FFFF0000"/>
        <rFont val="Arial"/>
        <family val="2"/>
      </rPr>
      <t>either</t>
    </r>
    <r>
      <rPr>
        <sz val="10"/>
        <rFont val="Arial"/>
        <family val="2"/>
      </rPr>
      <t xml:space="preserve"> the LAP file </t>
    </r>
    <r>
      <rPr>
        <strike/>
        <sz val="10"/>
        <color rgb="FFFF0000"/>
        <rFont val="Arial"/>
        <family val="2"/>
      </rPr>
      <t>or the bubbled lunch status on the answer document</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</si>
  <si>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1 = </t>
    </r>
    <r>
      <rPr>
        <strike/>
        <sz val="10"/>
        <color rgb="FFFF0000"/>
        <rFont val="Arial"/>
        <family val="2"/>
      </rPr>
      <t xml:space="preserve">Free </t>
    </r>
    <r>
      <rPr>
        <sz val="10"/>
        <color rgb="FFFF0000"/>
        <rFont val="Arial"/>
        <family val="2"/>
      </rPr>
      <t>Economically Disadvantaged</t>
    </r>
    <r>
      <rPr>
        <sz val="10"/>
        <rFont val="Arial"/>
        <family val="2"/>
      </rPr>
      <t xml:space="preserve">
</t>
    </r>
    <r>
      <rPr>
        <strike/>
        <sz val="10"/>
        <color rgb="FFFF0000"/>
        <rFont val="Arial"/>
        <family val="2"/>
      </rPr>
      <t>2 = Reduced</t>
    </r>
    <r>
      <rPr>
        <sz val="10"/>
        <rFont val="Arial"/>
        <family val="2"/>
      </rPr>
      <t xml:space="preserve">
0 =</t>
    </r>
    <r>
      <rPr>
        <sz val="10"/>
        <color rgb="FFFF0000"/>
        <rFont val="Arial"/>
        <family val="2"/>
      </rPr>
      <t xml:space="preserve"> </t>
    </r>
    <r>
      <rPr>
        <strike/>
        <sz val="10"/>
        <color rgb="FFFF0000"/>
        <rFont val="Arial"/>
        <family val="2"/>
      </rPr>
      <t xml:space="preserve">Paid </t>
    </r>
    <r>
      <rPr>
        <sz val="10"/>
        <color rgb="FFFF0000"/>
        <rFont val="Arial"/>
        <family val="2"/>
      </rPr>
      <t>Not Economically Disadvantaged</t>
    </r>
    <r>
      <rPr>
        <sz val="10"/>
        <rFont val="Arial"/>
        <family val="2"/>
      </rPr>
      <t xml:space="preserve">
</t>
    </r>
    <r>
      <rPr>
        <strike/>
        <sz val="10"/>
        <color rgb="FFFF0000"/>
        <rFont val="Arial"/>
        <family val="2"/>
      </rPr>
      <t xml:space="preserve">9 = Unknown 
</t>
    </r>
    <r>
      <rPr>
        <sz val="10"/>
        <color rgb="FFFF0000"/>
        <rFont val="Arial"/>
        <family val="2"/>
      </rPr>
      <t>Blank</t>
    </r>
  </si>
  <si>
    <r>
      <t>1 =</t>
    </r>
    <r>
      <rPr>
        <strike/>
        <sz val="10"/>
        <rFont val="Arial"/>
        <family val="2"/>
      </rPr>
      <t xml:space="preserve"> </t>
    </r>
    <r>
      <rPr>
        <strike/>
        <sz val="10"/>
        <color rgb="FFFF0000"/>
        <rFont val="Arial"/>
        <family val="2"/>
      </rPr>
      <t>Free</t>
    </r>
    <r>
      <rPr>
        <sz val="10"/>
        <color rgb="FFFF0000"/>
        <rFont val="Arial"/>
        <family val="2"/>
      </rPr>
      <t xml:space="preserve"> Economically Disadvantaged</t>
    </r>
    <r>
      <rPr>
        <sz val="10"/>
        <rFont val="Arial"/>
        <family val="2"/>
      </rPr>
      <t xml:space="preserve">
</t>
    </r>
    <r>
      <rPr>
        <strike/>
        <sz val="10"/>
        <color rgb="FFFF0000"/>
        <rFont val="Arial"/>
        <family val="2"/>
      </rPr>
      <t xml:space="preserve">2 = Reduced </t>
    </r>
    <r>
      <rPr>
        <sz val="10"/>
        <rFont val="Arial"/>
        <family val="2"/>
      </rPr>
      <t xml:space="preserve">
0 = </t>
    </r>
    <r>
      <rPr>
        <strike/>
        <sz val="10"/>
        <color rgb="FFFF0000"/>
        <rFont val="Arial"/>
        <family val="2"/>
      </rPr>
      <t xml:space="preserve">Paid </t>
    </r>
    <r>
      <rPr>
        <sz val="10"/>
        <color rgb="FFFF0000"/>
        <rFont val="Arial"/>
        <family val="2"/>
      </rPr>
      <t>Not Economically Disadvantaged</t>
    </r>
    <r>
      <rPr>
        <sz val="10"/>
        <rFont val="Arial"/>
        <family val="2"/>
      </rPr>
      <t xml:space="preserve">
Blank                                                                                                                                    </t>
    </r>
  </si>
  <si>
    <r>
      <rPr>
        <b/>
        <sz val="11"/>
        <color theme="1"/>
        <rFont val="Calibri"/>
        <family val="2"/>
        <scheme val="minor"/>
      </rPr>
      <t xml:space="preserve">(Spring 2015) (Logic change) </t>
    </r>
    <r>
      <rPr>
        <sz val="10"/>
        <rFont val="Arial"/>
      </rPr>
      <t>Updated pos. 155 to be Summarized Economically Disadvantaged instead of Summarized Lunch Status. The possible values were updated to only be "1" and "0".</t>
    </r>
  </si>
  <si>
    <r>
      <rPr>
        <b/>
        <sz val="11"/>
        <color theme="1"/>
        <rFont val="Calibri"/>
        <family val="2"/>
        <scheme val="minor"/>
      </rPr>
      <t xml:space="preserve">(Spring 2015) (Logic change) </t>
    </r>
    <r>
      <rPr>
        <sz val="10"/>
        <rFont val="Arial"/>
      </rPr>
      <t>Updated pos. 156 to be LAP Economically Disadvantaged instead of LAP Free/Reduced Lunch. The possible values were updated to be "1", "0" and Blank.</t>
    </r>
  </si>
</sst>
</file>

<file path=xl/styles.xml><?xml version="1.0" encoding="utf-8"?>
<styleSheet xmlns="http://schemas.openxmlformats.org/spreadsheetml/2006/main" xmlns:mc="http://schemas.openxmlformats.org/markup-compatibility/2006" xmlns:x14ac="http://schemas.microsoft.com/office/spreadsheetml/2009/9/ac" mc:Ignorable="x14ac">
  <fonts count="3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color indexed="10"/>
      <name val="Arial"/>
      <family val="2"/>
    </font>
    <font>
      <sz val="10"/>
      <name val="Arial"/>
      <family val="2"/>
    </font>
    <font>
      <i/>
      <sz val="10"/>
      <name val="Arial"/>
      <family val="2"/>
    </font>
    <font>
      <sz val="12"/>
      <name val="Arial"/>
      <family val="2"/>
    </font>
    <font>
      <sz val="14"/>
      <name val="Arial"/>
      <family val="2"/>
    </font>
    <font>
      <b/>
      <sz val="10"/>
      <name val="Arial"/>
      <family val="2"/>
    </font>
    <font>
      <sz val="10"/>
      <name val="Arial"/>
      <family val="2"/>
    </font>
    <font>
      <sz val="8"/>
      <name val="Arial"/>
      <family val="2"/>
    </font>
    <font>
      <b/>
      <sz val="10"/>
      <color indexed="10"/>
      <name val="Arial"/>
      <family val="2"/>
    </font>
    <font>
      <sz val="10"/>
      <color indexed="17"/>
      <name val="Arial"/>
      <family val="2"/>
    </font>
    <font>
      <i/>
      <sz val="10"/>
      <color indexed="17"/>
      <name val="Arial"/>
      <family val="2"/>
    </font>
    <font>
      <b/>
      <sz val="8"/>
      <color indexed="10"/>
      <name val="Arial"/>
      <family val="2"/>
    </font>
    <font>
      <strike/>
      <sz val="10"/>
      <name val="Arial"/>
      <family val="2"/>
    </font>
    <font>
      <b/>
      <u/>
      <sz val="10"/>
      <name val="Arial"/>
      <family val="2"/>
    </font>
    <font>
      <b/>
      <sz val="12"/>
      <name val="Arial"/>
      <family val="2"/>
    </font>
    <font>
      <u/>
      <sz val="10"/>
      <name val="Arial"/>
      <family val="2"/>
    </font>
    <font>
      <sz val="9"/>
      <name val="Arial"/>
      <family val="2"/>
    </font>
    <font>
      <strike/>
      <sz val="11"/>
      <name val="Calibri"/>
      <family val="2"/>
    </font>
    <font>
      <b/>
      <sz val="16"/>
      <name val="Arial"/>
      <family val="2"/>
    </font>
    <font>
      <sz val="16"/>
      <name val="Arial"/>
      <family val="2"/>
    </font>
    <font>
      <sz val="11"/>
      <color theme="1"/>
      <name val="Calibri"/>
      <family val="2"/>
      <scheme val="minor"/>
    </font>
    <font>
      <sz val="10"/>
      <color theme="1"/>
      <name val="Arial"/>
      <family val="2"/>
    </font>
    <font>
      <u/>
      <sz val="10"/>
      <color theme="10"/>
      <name val="Arial"/>
      <family val="2"/>
    </font>
    <font>
      <b/>
      <sz val="10"/>
      <color theme="1"/>
      <name val="Arial"/>
      <family val="2"/>
    </font>
    <font>
      <sz val="10"/>
      <color rgb="FFFF0000"/>
      <name val="Arial"/>
      <family val="2"/>
    </font>
    <font>
      <sz val="10"/>
      <name val="Arial"/>
      <family val="2"/>
    </font>
    <font>
      <b/>
      <sz val="11"/>
      <name val="Arial"/>
      <family val="2"/>
    </font>
    <font>
      <b/>
      <sz val="10"/>
      <color rgb="FF0000FF"/>
      <name val="Arial"/>
      <family val="2"/>
    </font>
    <font>
      <strike/>
      <sz val="10"/>
      <color rgb="FFFF0000"/>
      <name val="Arial"/>
      <family val="2"/>
    </font>
    <font>
      <b/>
      <strike/>
      <u/>
      <sz val="10"/>
      <color rgb="FFFF0000"/>
      <name val="Arial"/>
      <family val="2"/>
    </font>
    <font>
      <strike/>
      <u/>
      <sz val="10"/>
      <color theme="10"/>
      <name val="Arial"/>
      <family val="2"/>
    </font>
    <font>
      <b/>
      <sz val="11"/>
      <color theme="1"/>
      <name val="Calibri"/>
      <family val="2"/>
      <scheme val="minor"/>
    </font>
  </fonts>
  <fills count="4">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9">
    <xf numFmtId="0" fontId="0" fillId="0" borderId="0"/>
    <xf numFmtId="0" fontId="4" fillId="0" borderId="0"/>
    <xf numFmtId="0" fontId="4" fillId="0" borderId="0"/>
    <xf numFmtId="0" fontId="26" fillId="0" borderId="0"/>
    <xf numFmtId="0" fontId="28" fillId="0" borderId="0" applyNumberFormat="0" applyFill="0" applyBorder="0" applyAlignment="0" applyProtection="0"/>
    <xf numFmtId="0" fontId="3" fillId="0" borderId="0"/>
    <xf numFmtId="0" fontId="2" fillId="0" borderId="0"/>
    <xf numFmtId="0" fontId="31" fillId="0" borderId="0"/>
    <xf numFmtId="0" fontId="1" fillId="0" borderId="0"/>
  </cellStyleXfs>
  <cellXfs count="176">
    <xf numFmtId="0" fontId="0" fillId="0" borderId="0" xfId="0"/>
    <xf numFmtId="0" fontId="10" fillId="0" borderId="0" xfId="0" applyFont="1" applyFill="1" applyBorder="1" applyAlignment="1">
      <alignment vertical="top"/>
    </xf>
    <xf numFmtId="0" fontId="0" fillId="0" borderId="0" xfId="0" applyProtection="1">
      <protection locked="0"/>
    </xf>
    <xf numFmtId="0" fontId="0" fillId="0" borderId="0" xfId="0" applyAlignment="1" applyProtection="1">
      <alignment horizontal="center"/>
      <protection locked="0"/>
    </xf>
    <xf numFmtId="0" fontId="0" fillId="0" borderId="0" xfId="0" applyFill="1" applyProtection="1">
      <protection locked="0"/>
    </xf>
    <xf numFmtId="49" fontId="4" fillId="0" borderId="0" xfId="0" applyNumberFormat="1" applyFont="1" applyFill="1" applyBorder="1" applyAlignment="1">
      <alignment horizontal="left" vertical="top" wrapText="1"/>
    </xf>
    <xf numFmtId="0" fontId="0" fillId="0" borderId="1" xfId="0" applyFill="1" applyBorder="1" applyAlignment="1" applyProtection="1">
      <alignment horizontal="center" vertical="center" wrapText="1"/>
    </xf>
    <xf numFmtId="0" fontId="0" fillId="0" borderId="1" xfId="0"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Fill="1" applyBorder="1" applyAlignment="1" applyProtection="1">
      <alignment horizontal="left" vertical="center"/>
      <protection locked="0"/>
    </xf>
    <xf numFmtId="0" fontId="7" fillId="0" borderId="1" xfId="0" applyFont="1" applyFill="1" applyBorder="1" applyAlignment="1" applyProtection="1">
      <alignment horizontal="left" vertical="center"/>
      <protection locked="0"/>
    </xf>
    <xf numFmtId="0" fontId="7" fillId="0"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14" fontId="0" fillId="0" borderId="1" xfId="0" applyNumberFormat="1" applyFill="1" applyBorder="1" applyAlignment="1" applyProtection="1">
      <alignment horizontal="center" vertical="center" wrapText="1"/>
    </xf>
    <xf numFmtId="14" fontId="0" fillId="0" borderId="1" xfId="0" applyNumberFormat="1" applyFill="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0" fillId="0" borderId="1" xfId="0" applyFill="1" applyBorder="1" applyAlignment="1" applyProtection="1">
      <alignment vertical="center" wrapText="1"/>
    </xf>
    <xf numFmtId="0" fontId="5" fillId="0" borderId="1" xfId="0" applyFont="1" applyFill="1" applyBorder="1" applyAlignment="1" applyProtection="1">
      <alignment vertical="center" wrapText="1"/>
    </xf>
    <xf numFmtId="0" fontId="5" fillId="0" borderId="1" xfId="0" applyFont="1" applyFill="1" applyBorder="1" applyAlignment="1" applyProtection="1">
      <alignment vertical="center" wrapText="1"/>
      <protection locked="0"/>
    </xf>
    <xf numFmtId="0" fontId="5" fillId="0" borderId="1" xfId="0" applyFont="1" applyBorder="1" applyAlignment="1" applyProtection="1">
      <alignment vertical="center" wrapText="1"/>
      <protection locked="0"/>
    </xf>
    <xf numFmtId="0" fontId="0" fillId="0" borderId="0" xfId="0" applyAlignment="1" applyProtection="1">
      <alignment vertical="center" wrapText="1"/>
      <protection locked="0"/>
    </xf>
    <xf numFmtId="0" fontId="5" fillId="0" borderId="1" xfId="0" applyFont="1" applyFill="1" applyBorder="1" applyAlignment="1" applyProtection="1">
      <alignment horizontal="center" vertical="center"/>
      <protection locked="0"/>
    </xf>
    <xf numFmtId="0" fontId="4" fillId="0" borderId="1" xfId="0" applyFont="1" applyFill="1" applyBorder="1" applyAlignment="1" applyProtection="1">
      <alignment vertical="center" wrapText="1"/>
      <protection locked="0"/>
    </xf>
    <xf numFmtId="14" fontId="5" fillId="0" borderId="1" xfId="0" applyNumberFormat="1" applyFont="1" applyFill="1" applyBorder="1" applyAlignment="1" applyProtection="1">
      <alignment horizontal="center" vertical="center"/>
      <protection locked="0"/>
    </xf>
    <xf numFmtId="0" fontId="0" fillId="0" borderId="0" xfId="0" applyFill="1" applyBorder="1"/>
    <xf numFmtId="0" fontId="9" fillId="0" borderId="0" xfId="0" applyFont="1" applyFill="1" applyBorder="1" applyAlignment="1">
      <alignment vertical="top"/>
    </xf>
    <xf numFmtId="0" fontId="0" fillId="0" borderId="0" xfId="0" applyFill="1" applyBorder="1" applyAlignment="1">
      <alignment horizontal="center" vertical="top"/>
    </xf>
    <xf numFmtId="0" fontId="7" fillId="0" borderId="0" xfId="0" applyFont="1" applyFill="1" applyBorder="1" applyAlignment="1">
      <alignment vertical="top"/>
    </xf>
    <xf numFmtId="0" fontId="0" fillId="0" borderId="0" xfId="0" applyFill="1" applyBorder="1" applyAlignment="1">
      <alignment vertical="top"/>
    </xf>
    <xf numFmtId="0" fontId="7" fillId="0" borderId="0" xfId="0" applyFont="1" applyFill="1" applyBorder="1"/>
    <xf numFmtId="0" fontId="4" fillId="0" borderId="0" xfId="0" applyFont="1" applyFill="1" applyBorder="1" applyAlignment="1">
      <alignment horizontal="left" vertical="top"/>
    </xf>
    <xf numFmtId="0" fontId="6" fillId="0" borderId="0" xfId="0" applyFont="1" applyFill="1" applyBorder="1" applyAlignment="1">
      <alignment vertical="top"/>
    </xf>
    <xf numFmtId="1" fontId="4" fillId="0" borderId="0" xfId="0" applyNumberFormat="1" applyFont="1" applyFill="1" applyBorder="1" applyAlignment="1">
      <alignment horizontal="center" vertical="top"/>
    </xf>
    <xf numFmtId="0" fontId="4" fillId="0" borderId="0" xfId="0" applyFont="1" applyFill="1" applyBorder="1" applyAlignment="1">
      <alignment vertical="top"/>
    </xf>
    <xf numFmtId="0" fontId="7" fillId="0" borderId="0" xfId="0" applyFont="1" applyFill="1" applyBorder="1" applyAlignment="1">
      <alignment horizontal="left" vertical="center" wrapText="1"/>
    </xf>
    <xf numFmtId="0" fontId="8" fillId="0" borderId="0" xfId="0" applyFont="1" applyFill="1" applyBorder="1" applyAlignment="1">
      <alignment horizontal="left" vertical="top" wrapText="1"/>
    </xf>
    <xf numFmtId="0" fontId="12" fillId="0" borderId="0" xfId="0" applyFont="1" applyFill="1" applyBorder="1" applyAlignment="1">
      <alignment vertical="top"/>
    </xf>
    <xf numFmtId="0" fontId="16" fillId="0" borderId="0" xfId="0" applyFont="1" applyFill="1" applyBorder="1" applyAlignment="1">
      <alignment horizontal="left" vertical="top" wrapText="1"/>
    </xf>
    <xf numFmtId="0" fontId="15" fillId="0" borderId="0" xfId="0" applyFont="1" applyFill="1" applyBorder="1" applyAlignment="1">
      <alignment vertical="top"/>
    </xf>
    <xf numFmtId="0" fontId="11" fillId="0" borderId="0" xfId="0" applyFont="1" applyFill="1" applyBorder="1" applyAlignment="1">
      <alignment vertical="center"/>
    </xf>
    <xf numFmtId="0" fontId="11" fillId="0" borderId="0" xfId="0" applyFont="1" applyFill="1" applyBorder="1" applyAlignment="1">
      <alignment horizontal="center"/>
    </xf>
    <xf numFmtId="0" fontId="7" fillId="0" borderId="0" xfId="0" applyFont="1" applyFill="1" applyBorder="1" applyAlignment="1">
      <alignment horizontal="center"/>
    </xf>
    <xf numFmtId="0" fontId="11" fillId="0" borderId="0" xfId="0" applyFont="1" applyFill="1" applyBorder="1" applyAlignment="1">
      <alignment vertical="top"/>
    </xf>
    <xf numFmtId="0" fontId="7" fillId="0" borderId="0" xfId="0" applyFont="1" applyFill="1" applyBorder="1" applyAlignment="1">
      <alignment horizontal="left"/>
    </xf>
    <xf numFmtId="0" fontId="0" fillId="0" borderId="0" xfId="0" applyFill="1" applyBorder="1" applyAlignment="1">
      <alignment wrapText="1"/>
    </xf>
    <xf numFmtId="0" fontId="0" fillId="0" borderId="0" xfId="0" applyFill="1" applyBorder="1" applyAlignment="1">
      <alignment vertical="center"/>
    </xf>
    <xf numFmtId="49" fontId="4" fillId="0" borderId="0" xfId="0" applyNumberFormat="1" applyFont="1" applyFill="1" applyBorder="1" applyAlignment="1">
      <alignment vertical="center" wrapText="1"/>
    </xf>
    <xf numFmtId="0" fontId="4" fillId="0" borderId="0" xfId="0" applyNumberFormat="1" applyFont="1" applyFill="1" applyBorder="1" applyAlignment="1">
      <alignment vertical="center" wrapText="1"/>
    </xf>
    <xf numFmtId="0" fontId="4" fillId="0" borderId="0" xfId="0" applyFont="1" applyFill="1" applyBorder="1" applyAlignment="1" applyProtection="1">
      <alignment vertical="center" wrapText="1"/>
      <protection locked="0"/>
    </xf>
    <xf numFmtId="0" fontId="8" fillId="0" borderId="0" xfId="0" applyFont="1" applyFill="1" applyBorder="1" applyAlignment="1">
      <alignment vertical="center"/>
    </xf>
    <xf numFmtId="0" fontId="11" fillId="0" borderId="0" xfId="0" applyFont="1" applyFill="1" applyBorder="1" applyAlignment="1">
      <alignment vertical="center" wrapText="1"/>
    </xf>
    <xf numFmtId="16" fontId="4" fillId="0" borderId="0" xfId="0" applyNumberFormat="1" applyFont="1" applyFill="1" applyBorder="1" applyAlignment="1">
      <alignment vertical="center" wrapText="1"/>
    </xf>
    <xf numFmtId="0" fontId="18" fillId="0" borderId="0" xfId="0" applyFont="1" applyFill="1" applyBorder="1" applyAlignment="1">
      <alignment horizontal="center" vertical="top"/>
    </xf>
    <xf numFmtId="0" fontId="18" fillId="0" borderId="0" xfId="0" applyFont="1" applyFill="1" applyBorder="1" applyAlignment="1">
      <alignment vertical="center" wrapText="1"/>
    </xf>
    <xf numFmtId="0" fontId="23" fillId="0" borderId="0" xfId="0" applyFont="1" applyFill="1" applyAlignment="1">
      <alignment vertical="center" wrapText="1"/>
    </xf>
    <xf numFmtId="0" fontId="4" fillId="0" borderId="0" xfId="0" applyFont="1" applyFill="1" applyBorder="1" applyAlignment="1">
      <alignment horizontal="left" vertical="center" wrapText="1"/>
    </xf>
    <xf numFmtId="0" fontId="4" fillId="0" borderId="0" xfId="0" applyFont="1" applyFill="1" applyBorder="1" applyAlignment="1">
      <alignment vertical="center" wrapText="1"/>
    </xf>
    <xf numFmtId="0" fontId="4" fillId="0" borderId="0" xfId="0" applyFont="1" applyFill="1" applyBorder="1" applyAlignment="1">
      <alignment horizontal="center" vertical="top" wrapText="1"/>
    </xf>
    <xf numFmtId="49" fontId="4" fillId="0" borderId="0" xfId="0" applyNumberFormat="1" applyFont="1" applyFill="1" applyBorder="1" applyAlignment="1">
      <alignment horizontal="center" vertical="top" wrapText="1"/>
    </xf>
    <xf numFmtId="0" fontId="11" fillId="0" borderId="0" xfId="0" applyFont="1" applyFill="1" applyBorder="1" applyAlignment="1">
      <alignment horizontal="center" vertical="center"/>
    </xf>
    <xf numFmtId="0" fontId="4" fillId="0" borderId="1" xfId="0" applyFont="1" applyFill="1" applyBorder="1" applyAlignment="1" applyProtection="1">
      <alignment horizontal="center" vertical="center"/>
      <protection locked="0"/>
    </xf>
    <xf numFmtId="0" fontId="11" fillId="0" borderId="1" xfId="0" applyFont="1" applyFill="1" applyBorder="1" applyAlignment="1" applyProtection="1">
      <alignment vertical="center" wrapText="1"/>
      <protection locked="0"/>
    </xf>
    <xf numFmtId="14" fontId="0" fillId="0" borderId="1" xfId="0" applyNumberFormat="1" applyFill="1" applyBorder="1" applyAlignment="1" applyProtection="1">
      <alignment horizontal="center"/>
      <protection locked="0"/>
    </xf>
    <xf numFmtId="0" fontId="4" fillId="0" borderId="1" xfId="0" applyFont="1" applyFill="1" applyBorder="1" applyProtection="1">
      <protection locked="0"/>
    </xf>
    <xf numFmtId="0" fontId="0" fillId="0" borderId="1" xfId="0" applyFill="1" applyBorder="1" applyProtection="1">
      <protection locked="0"/>
    </xf>
    <xf numFmtId="0" fontId="4" fillId="0" borderId="1" xfId="0" applyFont="1" applyFill="1" applyBorder="1" applyAlignment="1" applyProtection="1">
      <alignment vertical="top"/>
      <protection locked="0"/>
    </xf>
    <xf numFmtId="0" fontId="4" fillId="0" borderId="1" xfId="0" applyFont="1" applyFill="1" applyBorder="1" applyAlignment="1" applyProtection="1">
      <alignment wrapText="1"/>
      <protection locked="0"/>
    </xf>
    <xf numFmtId="0" fontId="24" fillId="0" borderId="0" xfId="0" applyFont="1" applyFill="1" applyBorder="1" applyAlignment="1">
      <alignment horizontal="center" vertical="top"/>
    </xf>
    <xf numFmtId="0" fontId="25" fillId="0" borderId="0" xfId="0" applyFont="1" applyFill="1" applyBorder="1" applyAlignment="1">
      <alignment vertical="top"/>
    </xf>
    <xf numFmtId="0" fontId="4" fillId="0" borderId="1" xfId="0" applyNumberFormat="1" applyFont="1" applyFill="1" applyBorder="1" applyAlignment="1" applyProtection="1">
      <alignment vertical="center" wrapText="1"/>
      <protection locked="0"/>
    </xf>
    <xf numFmtId="0" fontId="4" fillId="0" borderId="1" xfId="0" applyFont="1" applyFill="1" applyBorder="1" applyAlignment="1" applyProtection="1">
      <alignment vertical="top" wrapText="1"/>
      <protection locked="0"/>
    </xf>
    <xf numFmtId="0" fontId="11" fillId="0" borderId="1" xfId="0" applyNumberFormat="1" applyFont="1" applyFill="1" applyBorder="1" applyAlignment="1" applyProtection="1">
      <alignment vertical="center" wrapText="1"/>
      <protection locked="0"/>
    </xf>
    <xf numFmtId="0" fontId="4" fillId="0" borderId="0" xfId="0" applyFont="1" applyFill="1" applyBorder="1" applyAlignment="1">
      <alignment horizontal="left" vertical="top" wrapText="1"/>
    </xf>
    <xf numFmtId="0" fontId="22" fillId="0" borderId="0" xfId="0" applyFont="1" applyFill="1" applyAlignment="1">
      <alignment wrapText="1"/>
    </xf>
    <xf numFmtId="14" fontId="4" fillId="0" borderId="1" xfId="1" applyNumberFormat="1" applyFill="1" applyBorder="1" applyAlignment="1" applyProtection="1">
      <alignment horizontal="center" vertical="center"/>
      <protection locked="0"/>
    </xf>
    <xf numFmtId="0" fontId="4" fillId="0" borderId="1" xfId="1" applyFont="1" applyFill="1" applyBorder="1" applyAlignment="1" applyProtection="1">
      <alignment vertical="center" wrapText="1"/>
      <protection locked="0"/>
    </xf>
    <xf numFmtId="0" fontId="4" fillId="0" borderId="1" xfId="1" applyFill="1" applyBorder="1" applyAlignment="1" applyProtection="1">
      <alignment horizontal="center" vertical="center"/>
      <protection locked="0"/>
    </xf>
    <xf numFmtId="0" fontId="4" fillId="0" borderId="1" xfId="1" applyFont="1" applyFill="1" applyBorder="1" applyAlignment="1" applyProtection="1">
      <alignment vertical="center"/>
      <protection locked="0"/>
    </xf>
    <xf numFmtId="0" fontId="4" fillId="0" borderId="2" xfId="1" applyFont="1" applyFill="1" applyBorder="1" applyAlignment="1" applyProtection="1">
      <alignment vertical="center" wrapText="1"/>
      <protection locked="0"/>
    </xf>
    <xf numFmtId="0" fontId="11" fillId="0" borderId="1" xfId="0" applyFont="1" applyFill="1" applyBorder="1" applyAlignment="1">
      <alignment wrapText="1"/>
    </xf>
    <xf numFmtId="0" fontId="4" fillId="0" borderId="0" xfId="0" applyFont="1" applyFill="1" applyBorder="1" applyAlignment="1">
      <alignment horizontal="left" vertical="center" wrapText="1"/>
    </xf>
    <xf numFmtId="0" fontId="7" fillId="0" borderId="0" xfId="0" applyFont="1" applyFill="1" applyBorder="1" applyAlignment="1">
      <alignment vertical="top"/>
    </xf>
    <xf numFmtId="0" fontId="7" fillId="2" borderId="0" xfId="0" applyFont="1" applyFill="1" applyBorder="1" applyAlignment="1">
      <alignment vertical="top"/>
    </xf>
    <xf numFmtId="0" fontId="0" fillId="2" borderId="0" xfId="0" applyFill="1" applyBorder="1" applyAlignment="1">
      <alignment vertical="top"/>
    </xf>
    <xf numFmtId="0" fontId="4" fillId="0" borderId="0" xfId="0" applyFont="1" applyFill="1" applyBorder="1" applyAlignment="1">
      <alignment horizontal="left" vertical="center" wrapText="1"/>
    </xf>
    <xf numFmtId="0" fontId="4" fillId="0" borderId="1" xfId="0" applyFont="1" applyFill="1" applyBorder="1" applyAlignment="1">
      <alignment vertical="center" wrapText="1"/>
    </xf>
    <xf numFmtId="0" fontId="0" fillId="0" borderId="0" xfId="0" applyAlignment="1">
      <alignment wrapText="1"/>
    </xf>
    <xf numFmtId="0" fontId="7" fillId="0" borderId="0" xfId="0" applyFont="1" applyFill="1" applyBorder="1" applyAlignment="1">
      <alignment vertical="top"/>
    </xf>
    <xf numFmtId="0" fontId="27" fillId="0" borderId="1" xfId="5" applyFont="1" applyFill="1" applyBorder="1" applyAlignment="1">
      <alignment wrapText="1"/>
    </xf>
    <xf numFmtId="0" fontId="4" fillId="0" borderId="0" xfId="0" applyFont="1" applyFill="1" applyAlignment="1">
      <alignment vertical="top" wrapText="1"/>
    </xf>
    <xf numFmtId="0" fontId="0" fillId="0" borderId="0" xfId="0" applyFill="1" applyBorder="1" applyAlignment="1">
      <alignment vertical="top"/>
    </xf>
    <xf numFmtId="0" fontId="7" fillId="0" borderId="0" xfId="0" applyFont="1" applyFill="1" applyBorder="1" applyAlignment="1">
      <alignment vertical="top"/>
    </xf>
    <xf numFmtId="0" fontId="4" fillId="0" borderId="1" xfId="0" applyFont="1" applyFill="1" applyBorder="1" applyAlignment="1" applyProtection="1">
      <protection locked="0"/>
    </xf>
    <xf numFmtId="0" fontId="27" fillId="0" borderId="1" xfId="6" applyFont="1" applyFill="1" applyBorder="1" applyAlignment="1">
      <alignment wrapText="1"/>
    </xf>
    <xf numFmtId="0" fontId="18" fillId="0" borderId="0" xfId="0" applyFont="1" applyFill="1" applyBorder="1" applyAlignment="1">
      <alignment horizontal="left" vertical="center" wrapText="1"/>
    </xf>
    <xf numFmtId="0" fontId="4" fillId="0" borderId="1" xfId="0" applyFont="1" applyBorder="1" applyAlignment="1" applyProtection="1">
      <protection locked="0"/>
    </xf>
    <xf numFmtId="14" fontId="0" fillId="0" borderId="1" xfId="0" applyNumberFormat="1" applyFill="1" applyBorder="1" applyProtection="1">
      <protection locked="0"/>
    </xf>
    <xf numFmtId="0" fontId="4" fillId="0" borderId="1" xfId="0" applyFont="1" applyFill="1" applyBorder="1" applyAlignment="1">
      <alignment wrapText="1"/>
    </xf>
    <xf numFmtId="14" fontId="0" fillId="0" borderId="1" xfId="0" applyNumberFormat="1" applyBorder="1" applyAlignment="1" applyProtection="1">
      <alignment horizontal="center"/>
      <protection locked="0"/>
    </xf>
    <xf numFmtId="0" fontId="4" fillId="0" borderId="1" xfId="0" applyFont="1" applyBorder="1" applyAlignment="1" applyProtection="1">
      <alignment vertical="center" wrapText="1"/>
      <protection locked="0"/>
    </xf>
    <xf numFmtId="0" fontId="0" fillId="0" borderId="1" xfId="0" applyBorder="1" applyAlignment="1" applyProtection="1">
      <alignment horizontal="left" vertical="center"/>
      <protection locked="0"/>
    </xf>
    <xf numFmtId="0" fontId="4" fillId="0" borderId="0" xfId="0" applyFont="1" applyFill="1" applyBorder="1" applyAlignment="1">
      <alignment vertical="center" wrapText="1"/>
    </xf>
    <xf numFmtId="0" fontId="4" fillId="0" borderId="0" xfId="0" applyFont="1" applyFill="1" applyBorder="1" applyAlignment="1">
      <alignment vertical="top"/>
    </xf>
    <xf numFmtId="0" fontId="4" fillId="0" borderId="0" xfId="0" applyFont="1" applyFill="1" applyBorder="1" applyAlignment="1">
      <alignment horizontal="center" vertical="top"/>
    </xf>
    <xf numFmtId="0" fontId="4" fillId="0" borderId="0" xfId="0" applyFont="1" applyFill="1" applyBorder="1" applyAlignment="1">
      <alignment vertical="center"/>
    </xf>
    <xf numFmtId="0" fontId="4" fillId="0" borderId="0" xfId="0" applyFont="1" applyFill="1" applyBorder="1" applyAlignment="1">
      <alignment vertical="top" wrapText="1"/>
    </xf>
    <xf numFmtId="0" fontId="4" fillId="0" borderId="0" xfId="0" applyFont="1" applyFill="1" applyBorder="1" applyAlignment="1">
      <alignment wrapText="1"/>
    </xf>
    <xf numFmtId="0" fontId="4" fillId="0" borderId="0" xfId="0" applyFont="1" applyFill="1" applyBorder="1" applyAlignment="1">
      <alignment horizontal="left" vertical="center" wrapText="1"/>
    </xf>
    <xf numFmtId="0" fontId="4" fillId="0" borderId="0" xfId="1" applyFont="1" applyFill="1" applyBorder="1" applyAlignment="1">
      <alignment vertical="center" wrapText="1"/>
    </xf>
    <xf numFmtId="0" fontId="4" fillId="0" borderId="0" xfId="7" applyFont="1" applyFill="1" applyBorder="1" applyAlignment="1">
      <alignment vertical="center" wrapText="1"/>
    </xf>
    <xf numFmtId="0" fontId="4" fillId="0" borderId="0" xfId="0" applyFont="1" applyFill="1" applyBorder="1" applyAlignment="1">
      <alignment horizontal="center"/>
    </xf>
    <xf numFmtId="0" fontId="11" fillId="0" borderId="0" xfId="0" applyFont="1" applyFill="1" applyBorder="1" applyAlignment="1">
      <alignment horizontal="left" vertical="top"/>
    </xf>
    <xf numFmtId="49" fontId="18" fillId="0" borderId="0" xfId="0" applyNumberFormat="1" applyFont="1" applyFill="1" applyBorder="1" applyAlignment="1">
      <alignment horizontal="center" vertical="top" wrapText="1"/>
    </xf>
    <xf numFmtId="0" fontId="32" fillId="0" borderId="0" xfId="0" applyFont="1" applyFill="1" applyBorder="1" applyAlignment="1">
      <alignment vertical="center" wrapText="1"/>
    </xf>
    <xf numFmtId="0" fontId="11" fillId="0" borderId="0" xfId="0" applyFont="1" applyFill="1" applyBorder="1" applyAlignment="1">
      <alignment horizontal="center" vertical="top"/>
    </xf>
    <xf numFmtId="0" fontId="4" fillId="0" borderId="0" xfId="0" applyFont="1" applyFill="1" applyBorder="1" applyAlignment="1">
      <alignment horizontal="left"/>
    </xf>
    <xf numFmtId="0" fontId="4" fillId="0" borderId="0" xfId="0" applyFont="1" applyFill="1" applyBorder="1"/>
    <xf numFmtId="0" fontId="33" fillId="0" borderId="0" xfId="0" applyFont="1" applyFill="1" applyBorder="1" applyAlignment="1">
      <alignment vertical="center"/>
    </xf>
    <xf numFmtId="0" fontId="33" fillId="0" borderId="0" xfId="0" applyFont="1" applyFill="1" applyBorder="1" applyAlignment="1">
      <alignment vertical="top"/>
    </xf>
    <xf numFmtId="0" fontId="33" fillId="0" borderId="0" xfId="0" applyFont="1" applyFill="1" applyBorder="1" applyAlignment="1">
      <alignment vertical="center" wrapText="1"/>
    </xf>
    <xf numFmtId="0" fontId="33" fillId="0" borderId="0" xfId="0" applyFont="1" applyFill="1" applyBorder="1" applyAlignment="1">
      <alignment vertical="top" wrapText="1"/>
    </xf>
    <xf numFmtId="0" fontId="4" fillId="0" borderId="0" xfId="0" applyFont="1" applyFill="1" applyAlignment="1">
      <alignment wrapText="1"/>
    </xf>
    <xf numFmtId="0" fontId="28" fillId="0" borderId="1" xfId="4" applyFill="1" applyBorder="1" applyAlignment="1">
      <alignment wrapText="1"/>
    </xf>
    <xf numFmtId="0" fontId="0" fillId="0" borderId="0" xfId="0" applyFill="1" applyAlignment="1">
      <alignment wrapText="1"/>
    </xf>
    <xf numFmtId="0" fontId="11" fillId="3" borderId="1" xfId="0" applyFont="1" applyFill="1" applyBorder="1"/>
    <xf numFmtId="0" fontId="18" fillId="2" borderId="1" xfId="0" applyFont="1" applyFill="1" applyBorder="1" applyAlignment="1">
      <alignment wrapText="1"/>
    </xf>
    <xf numFmtId="0" fontId="36" fillId="2" borderId="1" xfId="4" applyFont="1" applyFill="1" applyBorder="1" applyAlignment="1">
      <alignment horizontal="left" vertical="center" wrapText="1"/>
    </xf>
    <xf numFmtId="0" fontId="11" fillId="0" borderId="1" xfId="0" applyFont="1" applyBorder="1" applyAlignment="1" applyProtection="1">
      <alignment vertical="center" wrapText="1"/>
      <protection locked="0"/>
    </xf>
    <xf numFmtId="0" fontId="4" fillId="0" borderId="1" xfId="0" applyFont="1" applyBorder="1" applyAlignment="1" applyProtection="1">
      <alignment horizontal="center" vertical="center"/>
      <protection locked="0"/>
    </xf>
    <xf numFmtId="0" fontId="27" fillId="0" borderId="1" xfId="8" applyFont="1" applyBorder="1" applyAlignment="1">
      <alignment wrapText="1"/>
    </xf>
    <xf numFmtId="0" fontId="4" fillId="0" borderId="0" xfId="0" applyFont="1" applyFill="1" applyBorder="1" applyAlignment="1">
      <alignment horizontal="center" vertical="top"/>
    </xf>
    <xf numFmtId="0" fontId="34" fillId="0" borderId="0" xfId="0" applyFont="1" applyFill="1" applyBorder="1" applyAlignment="1">
      <alignment horizontal="center" vertical="top"/>
    </xf>
    <xf numFmtId="0" fontId="4" fillId="0" borderId="0" xfId="0" applyFont="1" applyFill="1" applyBorder="1" applyAlignment="1">
      <alignment vertical="center" wrapText="1"/>
    </xf>
    <xf numFmtId="0" fontId="24" fillId="3" borderId="0" xfId="0" applyFont="1" applyFill="1" applyBorder="1" applyAlignment="1"/>
    <xf numFmtId="0" fontId="4" fillId="3" borderId="0" xfId="0" applyFont="1" applyFill="1" applyBorder="1" applyAlignment="1">
      <alignment vertical="center" wrapText="1"/>
    </xf>
    <xf numFmtId="0" fontId="11" fillId="3" borderId="0" xfId="0" applyFont="1" applyFill="1" applyBorder="1" applyAlignment="1">
      <alignment vertical="center" wrapText="1"/>
    </xf>
    <xf numFmtId="49" fontId="4" fillId="3" borderId="0" xfId="0" applyNumberFormat="1" applyFont="1" applyFill="1" applyBorder="1" applyAlignment="1">
      <alignment vertical="center" wrapText="1"/>
    </xf>
    <xf numFmtId="0" fontId="34" fillId="3" borderId="0" xfId="0" applyFont="1" applyFill="1" applyBorder="1" applyAlignment="1">
      <alignment horizontal="center" vertical="top"/>
    </xf>
    <xf numFmtId="0" fontId="4" fillId="3" borderId="0" xfId="0" applyFont="1" applyFill="1" applyBorder="1" applyAlignment="1">
      <alignment horizontal="center" vertical="top"/>
    </xf>
    <xf numFmtId="49" fontId="34" fillId="3" borderId="0" xfId="0" applyNumberFormat="1" applyFont="1" applyFill="1" applyBorder="1" applyAlignment="1">
      <alignment vertical="center" wrapText="1"/>
    </xf>
    <xf numFmtId="0" fontId="34" fillId="3" borderId="0" xfId="0" applyFont="1" applyFill="1" applyBorder="1" applyAlignment="1">
      <alignment vertical="center" wrapText="1"/>
    </xf>
    <xf numFmtId="0" fontId="34" fillId="3" borderId="0" xfId="0" applyFont="1" applyFill="1" applyBorder="1" applyAlignment="1">
      <alignment wrapText="1"/>
    </xf>
    <xf numFmtId="0" fontId="30" fillId="3" borderId="0" xfId="0" applyFont="1" applyFill="1" applyBorder="1" applyAlignment="1">
      <alignment vertical="top"/>
    </xf>
    <xf numFmtId="0" fontId="30" fillId="3" borderId="0" xfId="0" applyFont="1" applyFill="1" applyBorder="1" applyAlignment="1">
      <alignment horizontal="center" vertical="top"/>
    </xf>
    <xf numFmtId="0" fontId="4" fillId="2" borderId="0" xfId="0" applyFont="1" applyFill="1" applyBorder="1" applyAlignment="1">
      <alignment vertical="top"/>
    </xf>
    <xf numFmtId="0" fontId="4" fillId="2" borderId="0" xfId="0" applyFont="1" applyFill="1" applyBorder="1" applyAlignment="1">
      <alignment vertical="center" wrapText="1"/>
    </xf>
    <xf numFmtId="14" fontId="0" fillId="0" borderId="1" xfId="0" applyNumberFormat="1" applyBorder="1"/>
    <xf numFmtId="0" fontId="4" fillId="0" borderId="1" xfId="0" applyFont="1" applyBorder="1" applyAlignment="1">
      <alignment wrapText="1"/>
    </xf>
    <xf numFmtId="0" fontId="4" fillId="0" borderId="0" xfId="0" applyFont="1" applyFill="1" applyBorder="1" applyAlignment="1">
      <alignment vertical="center" wrapText="1"/>
    </xf>
    <xf numFmtId="0" fontId="19" fillId="0" borderId="0" xfId="0" applyFont="1" applyFill="1" applyBorder="1" applyAlignment="1">
      <alignment horizontal="left" vertical="center" wrapText="1"/>
    </xf>
    <xf numFmtId="0" fontId="4" fillId="0" borderId="0" xfId="0" applyFont="1" applyFill="1" applyBorder="1" applyAlignment="1">
      <alignment horizontal="left" vertical="center" wrapText="1"/>
    </xf>
    <xf numFmtId="0" fontId="7" fillId="0" borderId="0" xfId="0" applyFont="1" applyFill="1" applyBorder="1" applyAlignment="1">
      <alignment horizontal="left" vertical="top" wrapText="1"/>
    </xf>
    <xf numFmtId="0" fontId="4" fillId="0" borderId="0" xfId="0" applyFont="1" applyFill="1" applyBorder="1" applyAlignment="1">
      <alignment vertical="center"/>
    </xf>
    <xf numFmtId="0" fontId="0" fillId="0" borderId="0" xfId="0" applyFill="1" applyBorder="1" applyAlignment="1">
      <alignment horizontal="left" vertical="center"/>
    </xf>
    <xf numFmtId="0" fontId="4" fillId="0" borderId="0" xfId="0" applyFont="1" applyFill="1" applyBorder="1" applyAlignment="1">
      <alignment horizontal="left" vertical="center"/>
    </xf>
    <xf numFmtId="0" fontId="4" fillId="0" borderId="0" xfId="1" applyFont="1" applyFill="1" applyBorder="1" applyAlignment="1">
      <alignment vertical="center" wrapText="1"/>
    </xf>
    <xf numFmtId="0" fontId="4" fillId="0" borderId="0" xfId="7" applyFont="1" applyFill="1" applyBorder="1" applyAlignment="1">
      <alignment vertical="center" wrapText="1"/>
    </xf>
    <xf numFmtId="0" fontId="4" fillId="0" borderId="0" xfId="7" applyFont="1" applyFill="1" applyAlignment="1">
      <alignment vertical="center" wrapText="1"/>
    </xf>
    <xf numFmtId="0" fontId="6" fillId="0" borderId="0" xfId="0" applyFont="1" applyFill="1" applyBorder="1" applyAlignment="1">
      <alignment vertical="top" wrapText="1"/>
    </xf>
    <xf numFmtId="0" fontId="0" fillId="0" borderId="0" xfId="0" applyFill="1" applyBorder="1" applyAlignment="1">
      <alignment vertical="top"/>
    </xf>
    <xf numFmtId="0" fontId="4" fillId="0" borderId="0" xfId="0" applyFont="1" applyFill="1" applyBorder="1" applyAlignment="1">
      <alignment vertical="top" wrapText="1"/>
    </xf>
    <xf numFmtId="0" fontId="4" fillId="3" borderId="0" xfId="0" applyFont="1" applyFill="1" applyBorder="1" applyAlignment="1">
      <alignment vertical="center" wrapText="1"/>
    </xf>
    <xf numFmtId="0" fontId="20" fillId="0" borderId="0" xfId="0" applyFont="1" applyFill="1" applyBorder="1" applyAlignment="1">
      <alignment horizontal="left"/>
    </xf>
    <xf numFmtId="0" fontId="9" fillId="0" borderId="0" xfId="0" applyFont="1" applyFill="1" applyBorder="1" applyAlignment="1"/>
    <xf numFmtId="0" fontId="20" fillId="0" borderId="0" xfId="0" applyFont="1" applyFill="1" applyBorder="1" applyAlignment="1">
      <alignment wrapText="1"/>
    </xf>
    <xf numFmtId="0" fontId="20" fillId="0" borderId="0" xfId="0" applyFont="1" applyFill="1" applyBorder="1" applyAlignment="1">
      <alignment horizontal="left" wrapText="1"/>
    </xf>
    <xf numFmtId="0" fontId="24" fillId="0" borderId="0" xfId="0" applyFont="1" applyFill="1" applyBorder="1" applyAlignment="1"/>
    <xf numFmtId="0" fontId="4" fillId="0" borderId="0" xfId="0" applyFont="1" applyFill="1" applyAlignment="1"/>
    <xf numFmtId="0" fontId="9" fillId="0" borderId="0" xfId="0" applyFont="1" applyFill="1" applyBorder="1" applyAlignment="1">
      <alignment wrapText="1"/>
    </xf>
    <xf numFmtId="0" fontId="20" fillId="0" borderId="0" xfId="0" applyFont="1" applyFill="1" applyBorder="1" applyAlignment="1"/>
    <xf numFmtId="0" fontId="4" fillId="0" borderId="0" xfId="0" applyFont="1" applyFill="1" applyAlignment="1">
      <alignment vertical="center"/>
    </xf>
    <xf numFmtId="0" fontId="4" fillId="0" borderId="0" xfId="0" applyFont="1" applyFill="1" applyBorder="1" applyAlignment="1">
      <alignment horizontal="center" vertical="top"/>
    </xf>
    <xf numFmtId="0" fontId="4" fillId="0" borderId="0" xfId="0" applyFont="1" applyFill="1" applyBorder="1" applyAlignment="1">
      <alignment vertical="top"/>
    </xf>
    <xf numFmtId="0" fontId="14" fillId="0" borderId="3" xfId="0" applyFont="1" applyBorder="1" applyAlignment="1" applyProtection="1">
      <alignment horizontal="left" wrapText="1"/>
    </xf>
    <xf numFmtId="0" fontId="0" fillId="0" borderId="0" xfId="0" applyFill="1" applyAlignment="1"/>
    <xf numFmtId="0" fontId="0" fillId="0" borderId="0" xfId="0" applyFill="1" applyAlignment="1">
      <alignment wrapText="1"/>
    </xf>
  </cellXfs>
  <cellStyles count="9">
    <cellStyle name="Hyperlink" xfId="4" builtinId="8"/>
    <cellStyle name="Normal" xfId="0" builtinId="0"/>
    <cellStyle name="Normal 10" xfId="6"/>
    <cellStyle name="Normal 11" xfId="5"/>
    <cellStyle name="Normal 2" xfId="1"/>
    <cellStyle name="Normal 3" xfId="2"/>
    <cellStyle name="Normal 4" xfId="3"/>
    <cellStyle name="Normal 5" xfId="7"/>
    <cellStyle name="Normal 6" xfId="8"/>
  </cellStyles>
  <dxfs count="0"/>
  <tableStyles count="0" defaultTableStyle="TableStyleMedium9" defaultPivotStyle="PivotStyleLight16"/>
  <colors>
    <mruColors>
      <color rgb="FFFFFF99"/>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0</xdr:colOff>
      <xdr:row>0</xdr:row>
      <xdr:rowOff>0</xdr:rowOff>
    </xdr:to>
    <xdr:sp macro="" textlink="">
      <xdr:nvSpPr>
        <xdr:cNvPr id="1815" name="Rectangle 1"/>
        <xdr:cNvSpPr>
          <a:spLocks noChangeArrowheads="1"/>
        </xdr:cNvSpPr>
      </xdr:nvSpPr>
      <xdr:spPr bwMode="auto">
        <a:xfrm>
          <a:off x="11772900" y="0"/>
          <a:ext cx="0" cy="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Forms/AllItems.aspx" TargetMode="External"/><Relationship Id="rId2" Type="http://schemas.openxmlformats.org/officeDocument/2006/relationships/hyperlink" Target="http://drcdirect/informationsystems/eis/dteam/Louisiana/" TargetMode="External"/><Relationship Id="rId1" Type="http://schemas.openxmlformats.org/officeDocument/2006/relationships/hyperlink" Target="http://drcdirect/informationsystems/eis/dteam/Louisiana/" TargetMode="External"/><Relationship Id="rId5" Type="http://schemas.openxmlformats.org/officeDocument/2006/relationships/printerSettings" Target="../printerSettings/printerSettings8.bin"/><Relationship Id="rId4" Type="http://schemas.openxmlformats.org/officeDocument/2006/relationships/hyperlink" Target="http://drcdirect/informationsystems/eis/dteam/Louisiana/Accountabilit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R514"/>
  <sheetViews>
    <sheetView tabSelected="1" zoomScale="70" zoomScaleNormal="70" zoomScalePageLayoutView="60" workbookViewId="0"/>
  </sheetViews>
  <sheetFormatPr defaultRowHeight="12.75" x14ac:dyDescent="0.2"/>
  <cols>
    <col min="1" max="1" width="14" style="26" customWidth="1"/>
    <col min="2" max="2" width="14.140625" style="26" customWidth="1"/>
    <col min="3" max="3" width="7.28515625" style="41" customWidth="1"/>
    <col min="4" max="4" width="9.140625" style="41" customWidth="1"/>
    <col min="5" max="5" width="11" style="24" customWidth="1"/>
    <col min="6" max="6" width="11.140625" style="24" customWidth="1"/>
    <col min="7" max="7" width="9.140625" style="24"/>
    <col min="8" max="8" width="57" style="44" customWidth="1"/>
    <col min="9" max="9" width="44.140625" style="49" customWidth="1"/>
    <col min="10" max="10" width="73" style="45" customWidth="1"/>
    <col min="11" max="11" width="0.140625" style="24" customWidth="1"/>
    <col min="12" max="16" width="9.140625" style="24" hidden="1" customWidth="1"/>
    <col min="17" max="17" width="51.28515625" style="24" customWidth="1"/>
    <col min="18" max="18" width="50.140625" style="24" customWidth="1"/>
    <col min="19" max="16384" width="9.140625" style="24"/>
  </cols>
  <sheetData>
    <row r="1" spans="1:17" ht="20.25" x14ac:dyDescent="0.3">
      <c r="A1" s="110"/>
      <c r="B1" s="110"/>
      <c r="C1" s="166" t="s">
        <v>536</v>
      </c>
      <c r="D1" s="166"/>
      <c r="E1" s="166"/>
      <c r="F1" s="166"/>
      <c r="G1" s="166"/>
      <c r="H1" s="167"/>
      <c r="J1" s="133" t="s">
        <v>679</v>
      </c>
    </row>
    <row r="2" spans="1:17" s="1" customFormat="1" ht="20.25" x14ac:dyDescent="0.2">
      <c r="A2" s="165" t="s">
        <v>280</v>
      </c>
      <c r="B2" s="165" t="s">
        <v>281</v>
      </c>
      <c r="C2" s="165" t="s">
        <v>39</v>
      </c>
      <c r="D2" s="162" t="s">
        <v>166</v>
      </c>
      <c r="E2" s="165" t="s">
        <v>40</v>
      </c>
      <c r="F2" s="165" t="s">
        <v>41</v>
      </c>
      <c r="G2" s="162" t="s">
        <v>6</v>
      </c>
      <c r="H2" s="162" t="s">
        <v>7</v>
      </c>
      <c r="I2" s="164" t="s">
        <v>42</v>
      </c>
      <c r="J2" s="169" t="s">
        <v>43</v>
      </c>
      <c r="K2" s="67"/>
      <c r="L2" s="68"/>
      <c r="M2" s="68"/>
      <c r="N2" s="68"/>
      <c r="O2" s="68"/>
      <c r="P2" s="68"/>
      <c r="Q2" s="68"/>
    </row>
    <row r="3" spans="1:17" s="25" customFormat="1" ht="27.75" customHeight="1" x14ac:dyDescent="0.2">
      <c r="A3" s="165"/>
      <c r="B3" s="165"/>
      <c r="C3" s="168"/>
      <c r="D3" s="163"/>
      <c r="E3" s="163"/>
      <c r="F3" s="163"/>
      <c r="G3" s="163"/>
      <c r="H3" s="163"/>
      <c r="I3" s="163"/>
      <c r="J3" s="163"/>
      <c r="K3" s="68"/>
      <c r="L3" s="68"/>
      <c r="M3" s="68"/>
      <c r="N3" s="68"/>
      <c r="O3" s="68"/>
      <c r="P3" s="68"/>
      <c r="Q3" s="68"/>
    </row>
    <row r="4" spans="1:17" s="28" customFormat="1" x14ac:dyDescent="0.2">
      <c r="A4" s="103"/>
      <c r="B4" s="103"/>
      <c r="C4" s="103"/>
      <c r="D4" s="103"/>
      <c r="E4" s="103"/>
      <c r="F4" s="103"/>
      <c r="G4" s="103"/>
      <c r="H4" s="111"/>
      <c r="I4" s="101"/>
      <c r="J4" s="104"/>
    </row>
    <row r="5" spans="1:17" s="27" customFormat="1" ht="38.25" x14ac:dyDescent="0.2">
      <c r="A5" s="103" t="s">
        <v>13</v>
      </c>
      <c r="B5" s="103" t="s">
        <v>13</v>
      </c>
      <c r="C5" s="103"/>
      <c r="D5" s="103" t="s">
        <v>174</v>
      </c>
      <c r="E5" s="103">
        <v>1</v>
      </c>
      <c r="F5" s="103">
        <f>E5+G5-1</f>
        <v>2</v>
      </c>
      <c r="G5" s="103">
        <v>2</v>
      </c>
      <c r="H5" s="30" t="s">
        <v>56</v>
      </c>
      <c r="I5" s="101" t="s">
        <v>268</v>
      </c>
      <c r="J5" s="104" t="s">
        <v>8</v>
      </c>
    </row>
    <row r="6" spans="1:17" s="27" customFormat="1" x14ac:dyDescent="0.2">
      <c r="A6" s="103" t="s">
        <v>13</v>
      </c>
      <c r="B6" s="103" t="s">
        <v>13</v>
      </c>
      <c r="C6" s="103"/>
      <c r="D6" s="103" t="s">
        <v>174</v>
      </c>
      <c r="E6" s="103">
        <f>E5+G5</f>
        <v>3</v>
      </c>
      <c r="F6" s="103">
        <f t="shared" ref="F6:F12" si="0">E6+G6-1</f>
        <v>6</v>
      </c>
      <c r="G6" s="103">
        <v>4</v>
      </c>
      <c r="H6" s="30" t="s">
        <v>57</v>
      </c>
      <c r="I6" s="101"/>
      <c r="J6" s="104" t="s">
        <v>9</v>
      </c>
    </row>
    <row r="7" spans="1:17" s="27" customFormat="1" ht="25.5" x14ac:dyDescent="0.2">
      <c r="A7" s="103" t="s">
        <v>13</v>
      </c>
      <c r="B7" s="103" t="s">
        <v>13</v>
      </c>
      <c r="C7" s="103"/>
      <c r="D7" s="103" t="s">
        <v>174</v>
      </c>
      <c r="E7" s="103">
        <f t="shared" ref="E7:E16" si="1">E6+G6</f>
        <v>7</v>
      </c>
      <c r="F7" s="103">
        <f t="shared" si="0"/>
        <v>7</v>
      </c>
      <c r="G7" s="103">
        <v>1</v>
      </c>
      <c r="H7" s="30" t="s">
        <v>58</v>
      </c>
      <c r="I7" s="101" t="s">
        <v>740</v>
      </c>
      <c r="J7" s="101" t="s">
        <v>30</v>
      </c>
    </row>
    <row r="8" spans="1:17" s="27" customFormat="1" ht="27.75" customHeight="1" x14ac:dyDescent="0.2">
      <c r="A8" s="103" t="s">
        <v>13</v>
      </c>
      <c r="B8" s="103" t="s">
        <v>13</v>
      </c>
      <c r="C8" s="103" t="s">
        <v>151</v>
      </c>
      <c r="D8" s="103" t="s">
        <v>174</v>
      </c>
      <c r="E8" s="103">
        <f t="shared" si="1"/>
        <v>8</v>
      </c>
      <c r="F8" s="103">
        <f t="shared" si="0"/>
        <v>10</v>
      </c>
      <c r="G8" s="103">
        <v>3</v>
      </c>
      <c r="H8" s="30" t="s">
        <v>44</v>
      </c>
      <c r="I8" s="101"/>
      <c r="J8" s="148" t="s">
        <v>607</v>
      </c>
    </row>
    <row r="9" spans="1:17" s="27" customFormat="1" ht="27" customHeight="1" x14ac:dyDescent="0.2">
      <c r="A9" s="103" t="s">
        <v>13</v>
      </c>
      <c r="B9" s="103" t="s">
        <v>13</v>
      </c>
      <c r="C9" s="103" t="s">
        <v>151</v>
      </c>
      <c r="D9" s="103" t="s">
        <v>174</v>
      </c>
      <c r="E9" s="103">
        <f t="shared" si="1"/>
        <v>11</v>
      </c>
      <c r="F9" s="103">
        <f t="shared" si="0"/>
        <v>13</v>
      </c>
      <c r="G9" s="103">
        <v>3</v>
      </c>
      <c r="H9" s="30" t="s">
        <v>45</v>
      </c>
      <c r="I9" s="101"/>
      <c r="J9" s="170"/>
    </row>
    <row r="10" spans="1:17" s="27" customFormat="1" x14ac:dyDescent="0.2">
      <c r="A10" s="103" t="s">
        <v>13</v>
      </c>
      <c r="B10" s="103" t="s">
        <v>13</v>
      </c>
      <c r="C10" s="103"/>
      <c r="D10" s="103" t="s">
        <v>174</v>
      </c>
      <c r="E10" s="103">
        <f t="shared" si="1"/>
        <v>14</v>
      </c>
      <c r="F10" s="103">
        <f t="shared" si="0"/>
        <v>53</v>
      </c>
      <c r="G10" s="103">
        <v>40</v>
      </c>
      <c r="H10" s="30" t="s">
        <v>46</v>
      </c>
      <c r="I10" s="101"/>
      <c r="J10" s="104"/>
    </row>
    <row r="11" spans="1:17" s="27" customFormat="1" x14ac:dyDescent="0.2">
      <c r="A11" s="103" t="s">
        <v>13</v>
      </c>
      <c r="B11" s="103" t="s">
        <v>13</v>
      </c>
      <c r="C11" s="103"/>
      <c r="D11" s="103" t="s">
        <v>174</v>
      </c>
      <c r="E11" s="103">
        <f t="shared" si="1"/>
        <v>54</v>
      </c>
      <c r="F11" s="103">
        <f t="shared" si="0"/>
        <v>93</v>
      </c>
      <c r="G11" s="103">
        <v>40</v>
      </c>
      <c r="H11" s="30" t="s">
        <v>47</v>
      </c>
      <c r="I11" s="101"/>
      <c r="J11" s="104"/>
    </row>
    <row r="12" spans="1:17" s="27" customFormat="1" ht="153" x14ac:dyDescent="0.2">
      <c r="A12" s="103" t="s">
        <v>13</v>
      </c>
      <c r="B12" s="103" t="s">
        <v>13</v>
      </c>
      <c r="C12" s="103" t="s">
        <v>150</v>
      </c>
      <c r="D12" s="103" t="s">
        <v>174</v>
      </c>
      <c r="E12" s="103">
        <f t="shared" si="1"/>
        <v>94</v>
      </c>
      <c r="F12" s="103">
        <f t="shared" si="0"/>
        <v>95</v>
      </c>
      <c r="G12" s="103">
        <v>2</v>
      </c>
      <c r="H12" s="30" t="s">
        <v>48</v>
      </c>
      <c r="I12" s="134" t="s">
        <v>680</v>
      </c>
      <c r="J12" s="135" t="s">
        <v>681</v>
      </c>
      <c r="K12" s="29"/>
      <c r="Q12" s="55"/>
    </row>
    <row r="13" spans="1:17" s="27" customFormat="1" x14ac:dyDescent="0.2">
      <c r="A13" s="103" t="s">
        <v>14</v>
      </c>
      <c r="B13" s="103" t="s">
        <v>13</v>
      </c>
      <c r="C13" s="131" t="s">
        <v>473</v>
      </c>
      <c r="D13" s="103" t="s">
        <v>174</v>
      </c>
      <c r="E13" s="103">
        <f>E12+G12</f>
        <v>96</v>
      </c>
      <c r="F13" s="103">
        <f t="shared" ref="F13:F18" si="2">E13+G13-1</f>
        <v>107</v>
      </c>
      <c r="G13" s="103">
        <v>12</v>
      </c>
      <c r="H13" s="30" t="s">
        <v>59</v>
      </c>
      <c r="I13" s="101"/>
      <c r="J13" s="148" t="s">
        <v>506</v>
      </c>
    </row>
    <row r="14" spans="1:17" s="27" customFormat="1" x14ac:dyDescent="0.2">
      <c r="A14" s="103" t="s">
        <v>14</v>
      </c>
      <c r="B14" s="103" t="s">
        <v>13</v>
      </c>
      <c r="C14" s="131" t="s">
        <v>473</v>
      </c>
      <c r="D14" s="103" t="s">
        <v>174</v>
      </c>
      <c r="E14" s="103">
        <f t="shared" si="1"/>
        <v>108</v>
      </c>
      <c r="F14" s="103">
        <f t="shared" si="2"/>
        <v>115</v>
      </c>
      <c r="G14" s="103">
        <v>8</v>
      </c>
      <c r="H14" s="30" t="s">
        <v>60</v>
      </c>
      <c r="I14" s="101"/>
      <c r="J14" s="148"/>
    </row>
    <row r="15" spans="1:17" s="27" customFormat="1" x14ac:dyDescent="0.2">
      <c r="A15" s="103" t="s">
        <v>14</v>
      </c>
      <c r="B15" s="103" t="s">
        <v>13</v>
      </c>
      <c r="C15" s="103"/>
      <c r="D15" s="103" t="s">
        <v>174</v>
      </c>
      <c r="E15" s="103">
        <f t="shared" si="1"/>
        <v>116</v>
      </c>
      <c r="F15" s="103">
        <f t="shared" si="2"/>
        <v>116</v>
      </c>
      <c r="G15" s="103">
        <v>1</v>
      </c>
      <c r="H15" s="30" t="s">
        <v>61</v>
      </c>
      <c r="I15" s="101"/>
      <c r="J15" s="152"/>
    </row>
    <row r="16" spans="1:17" s="27" customFormat="1" ht="38.25" x14ac:dyDescent="0.2">
      <c r="A16" s="103" t="s">
        <v>14</v>
      </c>
      <c r="B16" s="103" t="s">
        <v>13</v>
      </c>
      <c r="C16" s="131" t="s">
        <v>473</v>
      </c>
      <c r="D16" s="103" t="s">
        <v>174</v>
      </c>
      <c r="E16" s="103">
        <f t="shared" si="1"/>
        <v>117</v>
      </c>
      <c r="F16" s="103">
        <f t="shared" si="2"/>
        <v>125</v>
      </c>
      <c r="G16" s="103">
        <v>9</v>
      </c>
      <c r="H16" s="30" t="s">
        <v>49</v>
      </c>
      <c r="I16" s="134" t="s">
        <v>746</v>
      </c>
      <c r="J16" s="101" t="s">
        <v>330</v>
      </c>
    </row>
    <row r="17" spans="1:17" s="27" customFormat="1" ht="96" customHeight="1" x14ac:dyDescent="0.2">
      <c r="A17" s="103" t="s">
        <v>14</v>
      </c>
      <c r="B17" s="103" t="s">
        <v>14</v>
      </c>
      <c r="C17" s="103"/>
      <c r="D17" s="103" t="s">
        <v>174</v>
      </c>
      <c r="E17" s="103">
        <f>E16+G16</f>
        <v>126</v>
      </c>
      <c r="F17" s="103">
        <f t="shared" si="2"/>
        <v>134</v>
      </c>
      <c r="G17" s="103">
        <v>9</v>
      </c>
      <c r="H17" s="102" t="s">
        <v>50</v>
      </c>
      <c r="I17" s="101" t="s">
        <v>320</v>
      </c>
      <c r="J17" s="101" t="s">
        <v>602</v>
      </c>
      <c r="Q17" s="55"/>
    </row>
    <row r="18" spans="1:17" s="81" customFormat="1" x14ac:dyDescent="0.2">
      <c r="A18" s="103"/>
      <c r="B18" s="103"/>
      <c r="C18" s="103"/>
      <c r="D18" s="103"/>
      <c r="E18" s="103">
        <f>E17+G17</f>
        <v>135</v>
      </c>
      <c r="F18" s="103">
        <f t="shared" si="2"/>
        <v>144</v>
      </c>
      <c r="G18" s="103">
        <v>10</v>
      </c>
      <c r="H18" s="102" t="s">
        <v>271</v>
      </c>
      <c r="I18" s="101"/>
      <c r="J18" s="101"/>
      <c r="Q18" s="80"/>
    </row>
    <row r="19" spans="1:17" s="27" customFormat="1" ht="40.5" customHeight="1" x14ac:dyDescent="0.2">
      <c r="A19" s="103" t="s">
        <v>13</v>
      </c>
      <c r="B19" s="103" t="s">
        <v>13</v>
      </c>
      <c r="C19" s="131" t="s">
        <v>473</v>
      </c>
      <c r="D19" s="103" t="s">
        <v>174</v>
      </c>
      <c r="E19" s="103">
        <f>E18+G18</f>
        <v>145</v>
      </c>
      <c r="F19" s="103">
        <f t="shared" ref="F19:F26" si="3">E19+G19-1</f>
        <v>146</v>
      </c>
      <c r="G19" s="103">
        <v>2</v>
      </c>
      <c r="H19" s="102" t="s">
        <v>62</v>
      </c>
      <c r="I19" s="46" t="s">
        <v>668</v>
      </c>
      <c r="J19" s="148" t="s">
        <v>670</v>
      </c>
      <c r="Q19" s="150"/>
    </row>
    <row r="20" spans="1:17" s="27" customFormat="1" ht="39.75" customHeight="1" x14ac:dyDescent="0.2">
      <c r="A20" s="103" t="s">
        <v>13</v>
      </c>
      <c r="B20" s="103" t="s">
        <v>13</v>
      </c>
      <c r="C20" s="131" t="s">
        <v>473</v>
      </c>
      <c r="D20" s="103" t="s">
        <v>174</v>
      </c>
      <c r="E20" s="103">
        <f t="shared" ref="E20:E41" si="4">E19+G19</f>
        <v>147</v>
      </c>
      <c r="F20" s="103">
        <f t="shared" si="3"/>
        <v>148</v>
      </c>
      <c r="G20" s="103">
        <v>2</v>
      </c>
      <c r="H20" s="102" t="s">
        <v>63</v>
      </c>
      <c r="I20" s="46" t="s">
        <v>669</v>
      </c>
      <c r="J20" s="148"/>
      <c r="Q20" s="150"/>
    </row>
    <row r="21" spans="1:17" s="27" customFormat="1" ht="34.5" customHeight="1" x14ac:dyDescent="0.2">
      <c r="A21" s="103" t="s">
        <v>13</v>
      </c>
      <c r="B21" s="103" t="s">
        <v>13</v>
      </c>
      <c r="C21" s="131" t="s">
        <v>473</v>
      </c>
      <c r="D21" s="103" t="s">
        <v>174</v>
      </c>
      <c r="E21" s="103">
        <f t="shared" si="4"/>
        <v>149</v>
      </c>
      <c r="F21" s="103">
        <f t="shared" si="3"/>
        <v>152</v>
      </c>
      <c r="G21" s="103">
        <v>4</v>
      </c>
      <c r="H21" s="102" t="s">
        <v>64</v>
      </c>
      <c r="I21" s="46" t="s">
        <v>395</v>
      </c>
      <c r="J21" s="148"/>
      <c r="Q21" s="150"/>
    </row>
    <row r="22" spans="1:17" s="27" customFormat="1" ht="63.75" x14ac:dyDescent="0.2">
      <c r="A22" s="103" t="s">
        <v>13</v>
      </c>
      <c r="B22" s="103" t="s">
        <v>13</v>
      </c>
      <c r="C22" s="103" t="s">
        <v>750</v>
      </c>
      <c r="D22" s="103" t="s">
        <v>174</v>
      </c>
      <c r="E22" s="103">
        <f t="shared" si="4"/>
        <v>153</v>
      </c>
      <c r="F22" s="103">
        <f t="shared" si="3"/>
        <v>153</v>
      </c>
      <c r="G22" s="103">
        <v>1</v>
      </c>
      <c r="H22" s="102" t="s">
        <v>51</v>
      </c>
      <c r="I22" s="101" t="s">
        <v>341</v>
      </c>
      <c r="J22" s="101" t="s">
        <v>603</v>
      </c>
      <c r="Q22" s="55"/>
    </row>
    <row r="23" spans="1:17" s="27" customFormat="1" ht="102" x14ac:dyDescent="0.2">
      <c r="A23" s="103" t="s">
        <v>13</v>
      </c>
      <c r="B23" s="103" t="s">
        <v>13</v>
      </c>
      <c r="C23" s="130" t="s">
        <v>750</v>
      </c>
      <c r="D23" s="103" t="s">
        <v>174</v>
      </c>
      <c r="E23" s="103">
        <f t="shared" si="4"/>
        <v>154</v>
      </c>
      <c r="F23" s="103">
        <f t="shared" si="3"/>
        <v>154</v>
      </c>
      <c r="G23" s="103">
        <v>1</v>
      </c>
      <c r="H23" s="102" t="s">
        <v>273</v>
      </c>
      <c r="I23" s="101" t="s">
        <v>378</v>
      </c>
      <c r="J23" s="101" t="s">
        <v>604</v>
      </c>
      <c r="Q23" s="55"/>
    </row>
    <row r="24" spans="1:17" s="27" customFormat="1" ht="63.75" x14ac:dyDescent="0.2">
      <c r="A24" s="103" t="s">
        <v>13</v>
      </c>
      <c r="B24" s="103" t="s">
        <v>13</v>
      </c>
      <c r="C24" s="103" t="s">
        <v>151</v>
      </c>
      <c r="D24" s="103" t="s">
        <v>174</v>
      </c>
      <c r="E24" s="103">
        <f t="shared" si="4"/>
        <v>155</v>
      </c>
      <c r="F24" s="103">
        <f t="shared" si="3"/>
        <v>155</v>
      </c>
      <c r="G24" s="103">
        <v>1</v>
      </c>
      <c r="H24" s="144" t="s">
        <v>752</v>
      </c>
      <c r="I24" s="145" t="s">
        <v>755</v>
      </c>
      <c r="J24" s="101" t="s">
        <v>754</v>
      </c>
    </row>
    <row r="25" spans="1:17" s="31" customFormat="1" ht="51" x14ac:dyDescent="0.2">
      <c r="A25" s="57" t="s">
        <v>14</v>
      </c>
      <c r="B25" s="57" t="s">
        <v>14</v>
      </c>
      <c r="C25" s="103"/>
      <c r="D25" s="103" t="s">
        <v>167</v>
      </c>
      <c r="E25" s="103">
        <f t="shared" si="4"/>
        <v>156</v>
      </c>
      <c r="F25" s="103">
        <f t="shared" si="3"/>
        <v>156</v>
      </c>
      <c r="G25" s="103">
        <v>1</v>
      </c>
      <c r="H25" s="144" t="s">
        <v>753</v>
      </c>
      <c r="I25" s="145" t="s">
        <v>756</v>
      </c>
      <c r="J25" s="101" t="s">
        <v>555</v>
      </c>
    </row>
    <row r="26" spans="1:17" s="31" customFormat="1" ht="81.75" customHeight="1" x14ac:dyDescent="0.2">
      <c r="A26" s="103" t="s">
        <v>14</v>
      </c>
      <c r="B26" s="103" t="s">
        <v>14</v>
      </c>
      <c r="C26" s="103"/>
      <c r="D26" s="103" t="s">
        <v>174</v>
      </c>
      <c r="E26" s="103">
        <f t="shared" si="4"/>
        <v>157</v>
      </c>
      <c r="F26" s="103">
        <f t="shared" si="3"/>
        <v>157</v>
      </c>
      <c r="G26" s="103">
        <v>1</v>
      </c>
      <c r="H26" s="102" t="s">
        <v>52</v>
      </c>
      <c r="I26" s="132" t="s">
        <v>349</v>
      </c>
      <c r="J26" s="101" t="s">
        <v>16</v>
      </c>
    </row>
    <row r="27" spans="1:17" s="31" customFormat="1" ht="46.5" customHeight="1" x14ac:dyDescent="0.2">
      <c r="A27" s="103" t="s">
        <v>13</v>
      </c>
      <c r="B27" s="103" t="s">
        <v>13</v>
      </c>
      <c r="C27" s="103"/>
      <c r="D27" s="103" t="s">
        <v>174</v>
      </c>
      <c r="E27" s="103">
        <f t="shared" si="4"/>
        <v>158</v>
      </c>
      <c r="F27" s="103">
        <f t="shared" ref="F27:F41" si="5">E27+G27-1</f>
        <v>158</v>
      </c>
      <c r="G27" s="103">
        <v>1</v>
      </c>
      <c r="H27" s="102" t="s">
        <v>350</v>
      </c>
      <c r="I27" s="101" t="s">
        <v>345</v>
      </c>
      <c r="J27" s="101" t="s">
        <v>485</v>
      </c>
    </row>
    <row r="28" spans="1:17" s="31" customFormat="1" ht="51" x14ac:dyDescent="0.2">
      <c r="A28" s="57" t="s">
        <v>14</v>
      </c>
      <c r="B28" s="57" t="s">
        <v>14</v>
      </c>
      <c r="C28" s="103"/>
      <c r="D28" s="103" t="s">
        <v>168</v>
      </c>
      <c r="E28" s="103">
        <f t="shared" si="4"/>
        <v>159</v>
      </c>
      <c r="F28" s="103">
        <f t="shared" si="5"/>
        <v>160</v>
      </c>
      <c r="G28" s="103">
        <v>2</v>
      </c>
      <c r="H28" s="102" t="s">
        <v>396</v>
      </c>
      <c r="I28" s="101" t="s">
        <v>731</v>
      </c>
      <c r="J28" s="101" t="s">
        <v>555</v>
      </c>
    </row>
    <row r="29" spans="1:17" s="31" customFormat="1" ht="63.75" x14ac:dyDescent="0.2">
      <c r="A29" s="103" t="s">
        <v>13</v>
      </c>
      <c r="B29" s="103" t="s">
        <v>13</v>
      </c>
      <c r="C29" s="103"/>
      <c r="D29" s="103" t="s">
        <v>168</v>
      </c>
      <c r="E29" s="103">
        <f t="shared" si="4"/>
        <v>161</v>
      </c>
      <c r="F29" s="103">
        <f t="shared" si="5"/>
        <v>161</v>
      </c>
      <c r="G29" s="103">
        <v>1</v>
      </c>
      <c r="H29" s="102" t="s">
        <v>397</v>
      </c>
      <c r="I29" s="101" t="s">
        <v>331</v>
      </c>
      <c r="J29" s="101" t="s">
        <v>555</v>
      </c>
    </row>
    <row r="30" spans="1:17" s="31" customFormat="1" ht="51" x14ac:dyDescent="0.2">
      <c r="A30" s="57" t="s">
        <v>14</v>
      </c>
      <c r="B30" s="57" t="s">
        <v>14</v>
      </c>
      <c r="C30" s="103"/>
      <c r="D30" s="103" t="s">
        <v>168</v>
      </c>
      <c r="E30" s="103">
        <f t="shared" si="4"/>
        <v>162</v>
      </c>
      <c r="F30" s="103">
        <f t="shared" si="5"/>
        <v>162</v>
      </c>
      <c r="G30" s="103">
        <v>1</v>
      </c>
      <c r="H30" s="102" t="s">
        <v>398</v>
      </c>
      <c r="I30" s="101" t="s">
        <v>321</v>
      </c>
      <c r="J30" s="101" t="s">
        <v>555</v>
      </c>
    </row>
    <row r="31" spans="1:17" s="27" customFormat="1" ht="127.5" x14ac:dyDescent="0.2">
      <c r="A31" s="103" t="s">
        <v>13</v>
      </c>
      <c r="B31" s="103" t="s">
        <v>13</v>
      </c>
      <c r="C31" s="103"/>
      <c r="D31" s="103" t="s">
        <v>168</v>
      </c>
      <c r="E31" s="103">
        <f t="shared" si="4"/>
        <v>163</v>
      </c>
      <c r="F31" s="103">
        <f t="shared" si="5"/>
        <v>163</v>
      </c>
      <c r="G31" s="103">
        <v>1</v>
      </c>
      <c r="H31" s="102" t="s">
        <v>53</v>
      </c>
      <c r="I31" s="101" t="s">
        <v>567</v>
      </c>
      <c r="J31" s="101" t="s">
        <v>555</v>
      </c>
    </row>
    <row r="32" spans="1:17" s="31" customFormat="1" ht="38.25" x14ac:dyDescent="0.2">
      <c r="A32" s="57" t="s">
        <v>14</v>
      </c>
      <c r="B32" s="57" t="s">
        <v>14</v>
      </c>
      <c r="C32" s="103"/>
      <c r="D32" s="103" t="s">
        <v>168</v>
      </c>
      <c r="E32" s="103">
        <f t="shared" si="4"/>
        <v>164</v>
      </c>
      <c r="F32" s="103">
        <f t="shared" si="5"/>
        <v>164</v>
      </c>
      <c r="G32" s="103">
        <v>1</v>
      </c>
      <c r="H32" s="102" t="s">
        <v>54</v>
      </c>
      <c r="I32" s="101" t="s">
        <v>565</v>
      </c>
      <c r="J32" s="101" t="s">
        <v>481</v>
      </c>
    </row>
    <row r="33" spans="1:10" s="31" customFormat="1" x14ac:dyDescent="0.2">
      <c r="A33" s="103"/>
      <c r="B33" s="103"/>
      <c r="C33" s="103"/>
      <c r="D33" s="103"/>
      <c r="E33" s="103">
        <f t="shared" si="4"/>
        <v>165</v>
      </c>
      <c r="F33" s="103">
        <f t="shared" si="5"/>
        <v>165</v>
      </c>
      <c r="G33" s="103">
        <v>1</v>
      </c>
      <c r="H33" s="102" t="s">
        <v>271</v>
      </c>
      <c r="I33" s="101"/>
      <c r="J33" s="101"/>
    </row>
    <row r="34" spans="1:10" s="31" customFormat="1" ht="102" x14ac:dyDescent="0.2">
      <c r="A34" s="103" t="s">
        <v>14</v>
      </c>
      <c r="B34" s="103" t="s">
        <v>14</v>
      </c>
      <c r="C34" s="103"/>
      <c r="D34" s="103" t="s">
        <v>168</v>
      </c>
      <c r="E34" s="103">
        <f t="shared" si="4"/>
        <v>166</v>
      </c>
      <c r="F34" s="103">
        <f t="shared" si="5"/>
        <v>166</v>
      </c>
      <c r="G34" s="103">
        <v>1</v>
      </c>
      <c r="H34" s="102" t="s">
        <v>55</v>
      </c>
      <c r="I34" s="47" t="s">
        <v>682</v>
      </c>
      <c r="J34" s="101" t="s">
        <v>555</v>
      </c>
    </row>
    <row r="35" spans="1:10" s="31" customFormat="1" ht="81.75" customHeight="1" x14ac:dyDescent="0.2">
      <c r="A35" s="57" t="s">
        <v>14</v>
      </c>
      <c r="B35" s="57" t="s">
        <v>14</v>
      </c>
      <c r="C35" s="103"/>
      <c r="D35" s="103" t="s">
        <v>168</v>
      </c>
      <c r="E35" s="103">
        <f t="shared" si="4"/>
        <v>167</v>
      </c>
      <c r="F35" s="103">
        <f t="shared" si="5"/>
        <v>167</v>
      </c>
      <c r="G35" s="103">
        <v>1</v>
      </c>
      <c r="H35" s="102" t="s">
        <v>425</v>
      </c>
      <c r="I35" s="101" t="s">
        <v>332</v>
      </c>
      <c r="J35" s="101" t="s">
        <v>555</v>
      </c>
    </row>
    <row r="36" spans="1:10" s="31" customFormat="1" x14ac:dyDescent="0.2">
      <c r="A36" s="52"/>
      <c r="B36" s="52"/>
      <c r="C36" s="52"/>
      <c r="D36" s="52"/>
      <c r="E36" s="103">
        <f t="shared" si="4"/>
        <v>168</v>
      </c>
      <c r="F36" s="103">
        <f t="shared" si="5"/>
        <v>169</v>
      </c>
      <c r="G36" s="103">
        <v>2</v>
      </c>
      <c r="H36" s="105" t="s">
        <v>271</v>
      </c>
      <c r="I36" s="53"/>
      <c r="J36" s="53"/>
    </row>
    <row r="37" spans="1:10" s="31" customFormat="1" ht="102" x14ac:dyDescent="0.2">
      <c r="A37" s="103" t="s">
        <v>13</v>
      </c>
      <c r="B37" s="103" t="s">
        <v>13</v>
      </c>
      <c r="C37" s="103" t="s">
        <v>150</v>
      </c>
      <c r="D37" s="103" t="s">
        <v>174</v>
      </c>
      <c r="E37" s="103">
        <f>E36+G36</f>
        <v>170</v>
      </c>
      <c r="F37" s="103">
        <f>E37+G37-1</f>
        <v>171</v>
      </c>
      <c r="G37" s="103">
        <v>2</v>
      </c>
      <c r="H37" s="102" t="s">
        <v>65</v>
      </c>
      <c r="I37" s="136" t="s">
        <v>683</v>
      </c>
      <c r="J37" s="134" t="s">
        <v>684</v>
      </c>
    </row>
    <row r="38" spans="1:10" s="31" customFormat="1" ht="63.75" x14ac:dyDescent="0.2">
      <c r="A38" s="103" t="s">
        <v>14</v>
      </c>
      <c r="B38" s="103" t="s">
        <v>14</v>
      </c>
      <c r="C38" s="103"/>
      <c r="D38" s="103" t="s">
        <v>174</v>
      </c>
      <c r="E38" s="103">
        <f t="shared" si="4"/>
        <v>172</v>
      </c>
      <c r="F38" s="32">
        <f>E38+G38-1</f>
        <v>172</v>
      </c>
      <c r="G38" s="32">
        <v>1</v>
      </c>
      <c r="H38" s="5" t="s">
        <v>66</v>
      </c>
      <c r="I38" s="101" t="s">
        <v>347</v>
      </c>
      <c r="J38" s="46" t="s">
        <v>16</v>
      </c>
    </row>
    <row r="39" spans="1:10" s="31" customFormat="1" x14ac:dyDescent="0.2">
      <c r="A39" s="103"/>
      <c r="B39" s="103"/>
      <c r="C39" s="103"/>
      <c r="D39" s="103"/>
      <c r="E39" s="103">
        <f t="shared" si="4"/>
        <v>173</v>
      </c>
      <c r="F39" s="32">
        <f>E39+G39-1</f>
        <v>173</v>
      </c>
      <c r="G39" s="32">
        <v>1</v>
      </c>
      <c r="H39" s="5" t="s">
        <v>271</v>
      </c>
      <c r="I39" s="101"/>
      <c r="J39" s="46"/>
    </row>
    <row r="40" spans="1:10" s="31" customFormat="1" ht="102" x14ac:dyDescent="0.2">
      <c r="A40" s="58" t="s">
        <v>14</v>
      </c>
      <c r="B40" s="58" t="s">
        <v>14</v>
      </c>
      <c r="C40" s="103"/>
      <c r="D40" s="103" t="s">
        <v>168</v>
      </c>
      <c r="E40" s="103">
        <f t="shared" si="4"/>
        <v>174</v>
      </c>
      <c r="F40" s="32">
        <f>E40+G40-1</f>
        <v>175</v>
      </c>
      <c r="G40" s="32">
        <v>2</v>
      </c>
      <c r="H40" s="5" t="s">
        <v>399</v>
      </c>
      <c r="I40" s="136" t="s">
        <v>685</v>
      </c>
      <c r="J40" s="101" t="s">
        <v>481</v>
      </c>
    </row>
    <row r="41" spans="1:10" s="27" customFormat="1" x14ac:dyDescent="0.2">
      <c r="A41" s="103"/>
      <c r="B41" s="103"/>
      <c r="C41" s="102"/>
      <c r="D41" s="102"/>
      <c r="E41" s="103">
        <f t="shared" si="4"/>
        <v>176</v>
      </c>
      <c r="F41" s="103">
        <f t="shared" si="5"/>
        <v>178</v>
      </c>
      <c r="G41" s="103">
        <v>3</v>
      </c>
      <c r="H41" s="102" t="s">
        <v>271</v>
      </c>
      <c r="I41" s="101"/>
      <c r="J41" s="104"/>
    </row>
    <row r="42" spans="1:10" s="27" customFormat="1" x14ac:dyDescent="0.2">
      <c r="A42" s="103"/>
      <c r="B42" s="103"/>
      <c r="C42" s="103"/>
      <c r="D42" s="103"/>
      <c r="E42" s="103"/>
      <c r="F42" s="103"/>
      <c r="G42" s="103"/>
      <c r="H42" s="117" t="s">
        <v>97</v>
      </c>
      <c r="I42" s="50"/>
      <c r="J42" s="101"/>
    </row>
    <row r="43" spans="1:10" s="27" customFormat="1" x14ac:dyDescent="0.2">
      <c r="A43" s="58" t="s">
        <v>14</v>
      </c>
      <c r="B43" s="58" t="s">
        <v>14</v>
      </c>
      <c r="C43" s="103"/>
      <c r="D43" s="103" t="s">
        <v>174</v>
      </c>
      <c r="E43" s="32">
        <f>E41+G41</f>
        <v>179</v>
      </c>
      <c r="F43" s="103">
        <f>E43+G43-1</f>
        <v>179</v>
      </c>
      <c r="G43" s="103">
        <v>1</v>
      </c>
      <c r="H43" s="102" t="s">
        <v>67</v>
      </c>
      <c r="I43" s="160" t="s">
        <v>346</v>
      </c>
      <c r="J43" s="160" t="s">
        <v>16</v>
      </c>
    </row>
    <row r="44" spans="1:10" s="27" customFormat="1" x14ac:dyDescent="0.2">
      <c r="A44" s="58" t="s">
        <v>14</v>
      </c>
      <c r="B44" s="58" t="s">
        <v>14</v>
      </c>
      <c r="C44" s="103"/>
      <c r="D44" s="103" t="s">
        <v>174</v>
      </c>
      <c r="E44" s="103">
        <f>E43+G43</f>
        <v>180</v>
      </c>
      <c r="F44" s="103">
        <f t="shared" ref="F44:F60" si="6">E44+G44-1</f>
        <v>180</v>
      </c>
      <c r="G44" s="103">
        <v>1</v>
      </c>
      <c r="H44" s="102" t="s">
        <v>68</v>
      </c>
      <c r="I44" s="160"/>
      <c r="J44" s="160"/>
    </row>
    <row r="45" spans="1:10" s="27" customFormat="1" x14ac:dyDescent="0.2">
      <c r="A45" s="58" t="s">
        <v>14</v>
      </c>
      <c r="B45" s="58" t="s">
        <v>14</v>
      </c>
      <c r="C45" s="103"/>
      <c r="D45" s="103" t="s">
        <v>174</v>
      </c>
      <c r="E45" s="103">
        <f t="shared" ref="E45:E60" si="7">E44+G44</f>
        <v>181</v>
      </c>
      <c r="F45" s="103">
        <f t="shared" si="6"/>
        <v>181</v>
      </c>
      <c r="G45" s="103">
        <v>1</v>
      </c>
      <c r="H45" s="102" t="s">
        <v>69</v>
      </c>
      <c r="I45" s="160"/>
      <c r="J45" s="160"/>
    </row>
    <row r="46" spans="1:10" s="27" customFormat="1" x14ac:dyDescent="0.2">
      <c r="A46" s="58" t="s">
        <v>14</v>
      </c>
      <c r="B46" s="58" t="s">
        <v>14</v>
      </c>
      <c r="C46" s="103"/>
      <c r="D46" s="103" t="s">
        <v>174</v>
      </c>
      <c r="E46" s="103">
        <f t="shared" si="7"/>
        <v>182</v>
      </c>
      <c r="F46" s="103">
        <f t="shared" si="6"/>
        <v>182</v>
      </c>
      <c r="G46" s="103">
        <v>1</v>
      </c>
      <c r="H46" s="102" t="s">
        <v>70</v>
      </c>
      <c r="I46" s="160"/>
      <c r="J46" s="160"/>
    </row>
    <row r="47" spans="1:10" s="27" customFormat="1" x14ac:dyDescent="0.2">
      <c r="A47" s="58" t="s">
        <v>14</v>
      </c>
      <c r="B47" s="58" t="s">
        <v>14</v>
      </c>
      <c r="C47" s="103"/>
      <c r="D47" s="103" t="s">
        <v>174</v>
      </c>
      <c r="E47" s="103">
        <f t="shared" si="7"/>
        <v>183</v>
      </c>
      <c r="F47" s="103">
        <f t="shared" si="6"/>
        <v>183</v>
      </c>
      <c r="G47" s="103">
        <v>1</v>
      </c>
      <c r="H47" s="102" t="s">
        <v>71</v>
      </c>
      <c r="I47" s="160"/>
      <c r="J47" s="160"/>
    </row>
    <row r="48" spans="1:10" s="27" customFormat="1" x14ac:dyDescent="0.2">
      <c r="A48" s="58" t="s">
        <v>14</v>
      </c>
      <c r="B48" s="58" t="s">
        <v>14</v>
      </c>
      <c r="C48" s="103"/>
      <c r="D48" s="103" t="s">
        <v>174</v>
      </c>
      <c r="E48" s="103">
        <f t="shared" si="7"/>
        <v>184</v>
      </c>
      <c r="F48" s="103">
        <f t="shared" si="6"/>
        <v>184</v>
      </c>
      <c r="G48" s="103">
        <v>1</v>
      </c>
      <c r="H48" s="102" t="s">
        <v>72</v>
      </c>
      <c r="I48" s="160"/>
      <c r="J48" s="160"/>
    </row>
    <row r="49" spans="1:10" s="27" customFormat="1" x14ac:dyDescent="0.2">
      <c r="A49" s="58" t="s">
        <v>14</v>
      </c>
      <c r="B49" s="58" t="s">
        <v>14</v>
      </c>
      <c r="C49" s="103"/>
      <c r="D49" s="103" t="s">
        <v>174</v>
      </c>
      <c r="E49" s="103">
        <f t="shared" si="7"/>
        <v>185</v>
      </c>
      <c r="F49" s="103">
        <f t="shared" si="6"/>
        <v>185</v>
      </c>
      <c r="G49" s="103">
        <v>1</v>
      </c>
      <c r="H49" s="102" t="s">
        <v>73</v>
      </c>
      <c r="I49" s="160"/>
      <c r="J49" s="160"/>
    </row>
    <row r="50" spans="1:10" s="27" customFormat="1" x14ac:dyDescent="0.2">
      <c r="A50" s="58" t="s">
        <v>14</v>
      </c>
      <c r="B50" s="58" t="s">
        <v>14</v>
      </c>
      <c r="C50" s="103"/>
      <c r="D50" s="103" t="s">
        <v>174</v>
      </c>
      <c r="E50" s="103">
        <f t="shared" si="7"/>
        <v>186</v>
      </c>
      <c r="F50" s="103">
        <f t="shared" si="6"/>
        <v>186</v>
      </c>
      <c r="G50" s="103">
        <v>1</v>
      </c>
      <c r="H50" s="102" t="s">
        <v>74</v>
      </c>
      <c r="I50" s="160"/>
      <c r="J50" s="160"/>
    </row>
    <row r="51" spans="1:10" s="27" customFormat="1" x14ac:dyDescent="0.2">
      <c r="A51" s="58" t="s">
        <v>14</v>
      </c>
      <c r="B51" s="58" t="s">
        <v>14</v>
      </c>
      <c r="C51" s="103"/>
      <c r="D51" s="103" t="s">
        <v>174</v>
      </c>
      <c r="E51" s="103">
        <f t="shared" si="7"/>
        <v>187</v>
      </c>
      <c r="F51" s="103">
        <f t="shared" si="6"/>
        <v>187</v>
      </c>
      <c r="G51" s="103">
        <v>1</v>
      </c>
      <c r="H51" s="102" t="s">
        <v>75</v>
      </c>
      <c r="I51" s="160"/>
      <c r="J51" s="160"/>
    </row>
    <row r="52" spans="1:10" s="27" customFormat="1" x14ac:dyDescent="0.2">
      <c r="A52" s="58" t="s">
        <v>14</v>
      </c>
      <c r="B52" s="58" t="s">
        <v>14</v>
      </c>
      <c r="C52" s="103"/>
      <c r="D52" s="103" t="s">
        <v>174</v>
      </c>
      <c r="E52" s="103">
        <f t="shared" si="7"/>
        <v>188</v>
      </c>
      <c r="F52" s="103">
        <f t="shared" si="6"/>
        <v>188</v>
      </c>
      <c r="G52" s="103">
        <v>1</v>
      </c>
      <c r="H52" s="102" t="s">
        <v>76</v>
      </c>
      <c r="I52" s="160"/>
      <c r="J52" s="160"/>
    </row>
    <row r="53" spans="1:10" s="27" customFormat="1" x14ac:dyDescent="0.2">
      <c r="A53" s="58" t="s">
        <v>14</v>
      </c>
      <c r="B53" s="58" t="s">
        <v>14</v>
      </c>
      <c r="C53" s="103"/>
      <c r="D53" s="103" t="s">
        <v>174</v>
      </c>
      <c r="E53" s="103">
        <f t="shared" si="7"/>
        <v>189</v>
      </c>
      <c r="F53" s="103">
        <f t="shared" si="6"/>
        <v>189</v>
      </c>
      <c r="G53" s="103">
        <v>1</v>
      </c>
      <c r="H53" s="102" t="s">
        <v>77</v>
      </c>
      <c r="I53" s="160"/>
      <c r="J53" s="160"/>
    </row>
    <row r="54" spans="1:10" s="27" customFormat="1" x14ac:dyDescent="0.2">
      <c r="A54" s="58" t="s">
        <v>14</v>
      </c>
      <c r="B54" s="58" t="s">
        <v>14</v>
      </c>
      <c r="C54" s="103"/>
      <c r="D54" s="103" t="s">
        <v>174</v>
      </c>
      <c r="E54" s="103">
        <f t="shared" si="7"/>
        <v>190</v>
      </c>
      <c r="F54" s="103">
        <f t="shared" si="6"/>
        <v>190</v>
      </c>
      <c r="G54" s="103">
        <v>1</v>
      </c>
      <c r="H54" s="102" t="s">
        <v>78</v>
      </c>
      <c r="I54" s="160"/>
      <c r="J54" s="160"/>
    </row>
    <row r="55" spans="1:10" s="27" customFormat="1" x14ac:dyDescent="0.2">
      <c r="A55" s="58" t="s">
        <v>14</v>
      </c>
      <c r="B55" s="58" t="s">
        <v>14</v>
      </c>
      <c r="C55" s="103"/>
      <c r="D55" s="103" t="s">
        <v>174</v>
      </c>
      <c r="E55" s="103">
        <f t="shared" si="7"/>
        <v>191</v>
      </c>
      <c r="F55" s="103">
        <f t="shared" si="6"/>
        <v>191</v>
      </c>
      <c r="G55" s="103">
        <v>1</v>
      </c>
      <c r="H55" s="102" t="s">
        <v>79</v>
      </c>
      <c r="I55" s="160"/>
      <c r="J55" s="160"/>
    </row>
    <row r="56" spans="1:10" s="27" customFormat="1" x14ac:dyDescent="0.2">
      <c r="A56" s="58" t="s">
        <v>14</v>
      </c>
      <c r="B56" s="58" t="s">
        <v>14</v>
      </c>
      <c r="C56" s="103"/>
      <c r="D56" s="103" t="s">
        <v>174</v>
      </c>
      <c r="E56" s="103">
        <f t="shared" si="7"/>
        <v>192</v>
      </c>
      <c r="F56" s="103">
        <f t="shared" si="6"/>
        <v>192</v>
      </c>
      <c r="G56" s="103">
        <v>1</v>
      </c>
      <c r="H56" s="102" t="s">
        <v>80</v>
      </c>
      <c r="I56" s="160"/>
      <c r="J56" s="160"/>
    </row>
    <row r="57" spans="1:10" s="27" customFormat="1" x14ac:dyDescent="0.2">
      <c r="A57" s="58" t="s">
        <v>14</v>
      </c>
      <c r="B57" s="58" t="s">
        <v>14</v>
      </c>
      <c r="C57" s="103"/>
      <c r="D57" s="103" t="s">
        <v>174</v>
      </c>
      <c r="E57" s="103">
        <f t="shared" si="7"/>
        <v>193</v>
      </c>
      <c r="F57" s="103">
        <f t="shared" si="6"/>
        <v>193</v>
      </c>
      <c r="G57" s="103">
        <v>1</v>
      </c>
      <c r="H57" s="105" t="s">
        <v>507</v>
      </c>
      <c r="I57" s="160"/>
      <c r="J57" s="160"/>
    </row>
    <row r="58" spans="1:10" s="27" customFormat="1" x14ac:dyDescent="0.2">
      <c r="A58" s="112"/>
      <c r="B58" s="112"/>
      <c r="C58" s="52"/>
      <c r="D58" s="52"/>
      <c r="E58" s="103">
        <f t="shared" si="7"/>
        <v>194</v>
      </c>
      <c r="F58" s="103">
        <f t="shared" si="6"/>
        <v>194</v>
      </c>
      <c r="G58" s="103">
        <v>1</v>
      </c>
      <c r="H58" s="105" t="s">
        <v>271</v>
      </c>
      <c r="I58" s="160"/>
      <c r="J58" s="160"/>
    </row>
    <row r="59" spans="1:10" s="27" customFormat="1" x14ac:dyDescent="0.2">
      <c r="A59" s="58" t="s">
        <v>14</v>
      </c>
      <c r="B59" s="58" t="s">
        <v>14</v>
      </c>
      <c r="C59" s="103"/>
      <c r="D59" s="103" t="s">
        <v>174</v>
      </c>
      <c r="E59" s="103">
        <f t="shared" si="7"/>
        <v>195</v>
      </c>
      <c r="F59" s="103">
        <f t="shared" si="6"/>
        <v>195</v>
      </c>
      <c r="G59" s="103">
        <v>1</v>
      </c>
      <c r="H59" s="105" t="s">
        <v>81</v>
      </c>
      <c r="I59" s="160"/>
      <c r="J59" s="160"/>
    </row>
    <row r="60" spans="1:10" s="27" customFormat="1" x14ac:dyDescent="0.2">
      <c r="A60" s="103"/>
      <c r="B60" s="103"/>
      <c r="C60" s="103"/>
      <c r="D60" s="103"/>
      <c r="E60" s="103">
        <f t="shared" si="7"/>
        <v>196</v>
      </c>
      <c r="F60" s="103">
        <f t="shared" si="6"/>
        <v>200</v>
      </c>
      <c r="G60" s="103">
        <v>5</v>
      </c>
      <c r="H60" s="102" t="s">
        <v>271</v>
      </c>
      <c r="I60" s="101"/>
      <c r="J60" s="104"/>
    </row>
    <row r="61" spans="1:10" s="27" customFormat="1" x14ac:dyDescent="0.2">
      <c r="A61" s="103"/>
      <c r="B61" s="103"/>
      <c r="C61" s="103"/>
      <c r="D61" s="103"/>
      <c r="E61" s="103"/>
      <c r="F61" s="103"/>
      <c r="G61" s="103"/>
      <c r="H61" s="117" t="s">
        <v>82</v>
      </c>
      <c r="I61" s="101"/>
      <c r="J61" s="104"/>
    </row>
    <row r="62" spans="1:10" s="27" customFormat="1" x14ac:dyDescent="0.2">
      <c r="A62" s="103" t="s">
        <v>13</v>
      </c>
      <c r="B62" s="103" t="s">
        <v>13</v>
      </c>
      <c r="C62" s="103" t="s">
        <v>151</v>
      </c>
      <c r="D62" s="103" t="s">
        <v>174</v>
      </c>
      <c r="E62" s="103">
        <f>E60+G60</f>
        <v>201</v>
      </c>
      <c r="F62" s="103">
        <f>E62+G62-1</f>
        <v>201</v>
      </c>
      <c r="G62" s="103">
        <v>1</v>
      </c>
      <c r="H62" s="102" t="s">
        <v>83</v>
      </c>
      <c r="I62" s="148" t="s">
        <v>346</v>
      </c>
      <c r="J62" s="148" t="s">
        <v>16</v>
      </c>
    </row>
    <row r="63" spans="1:10" s="27" customFormat="1" x14ac:dyDescent="0.2">
      <c r="A63" s="103" t="s">
        <v>13</v>
      </c>
      <c r="B63" s="103" t="s">
        <v>13</v>
      </c>
      <c r="C63" s="103" t="s">
        <v>151</v>
      </c>
      <c r="D63" s="103" t="s">
        <v>174</v>
      </c>
      <c r="E63" s="103">
        <f>E62+G62</f>
        <v>202</v>
      </c>
      <c r="F63" s="103">
        <f t="shared" ref="F63:F74" si="8">E63+G63-1</f>
        <v>202</v>
      </c>
      <c r="G63" s="103">
        <v>1</v>
      </c>
      <c r="H63" s="102" t="s">
        <v>84</v>
      </c>
      <c r="I63" s="148"/>
      <c r="J63" s="152"/>
    </row>
    <row r="64" spans="1:10" s="27" customFormat="1" x14ac:dyDescent="0.2">
      <c r="A64" s="103" t="s">
        <v>13</v>
      </c>
      <c r="B64" s="103" t="s">
        <v>13</v>
      </c>
      <c r="C64" s="103" t="s">
        <v>151</v>
      </c>
      <c r="D64" s="103" t="s">
        <v>174</v>
      </c>
      <c r="E64" s="103">
        <f t="shared" ref="E64:E74" si="9">E63+G63</f>
        <v>203</v>
      </c>
      <c r="F64" s="103">
        <f t="shared" si="8"/>
        <v>203</v>
      </c>
      <c r="G64" s="103">
        <v>1</v>
      </c>
      <c r="H64" s="102" t="s">
        <v>85</v>
      </c>
      <c r="I64" s="148"/>
      <c r="J64" s="152"/>
    </row>
    <row r="65" spans="1:10" s="27" customFormat="1" x14ac:dyDescent="0.2">
      <c r="A65" s="103" t="s">
        <v>13</v>
      </c>
      <c r="B65" s="103" t="s">
        <v>13</v>
      </c>
      <c r="C65" s="103" t="s">
        <v>151</v>
      </c>
      <c r="D65" s="103" t="s">
        <v>174</v>
      </c>
      <c r="E65" s="103">
        <f t="shared" si="9"/>
        <v>204</v>
      </c>
      <c r="F65" s="103">
        <f t="shared" si="8"/>
        <v>204</v>
      </c>
      <c r="G65" s="103">
        <v>1</v>
      </c>
      <c r="H65" s="102" t="s">
        <v>86</v>
      </c>
      <c r="I65" s="148"/>
      <c r="J65" s="152"/>
    </row>
    <row r="66" spans="1:10" s="27" customFormat="1" x14ac:dyDescent="0.2">
      <c r="A66" s="103" t="s">
        <v>13</v>
      </c>
      <c r="B66" s="103" t="s">
        <v>13</v>
      </c>
      <c r="C66" s="103" t="s">
        <v>151</v>
      </c>
      <c r="D66" s="103" t="s">
        <v>174</v>
      </c>
      <c r="E66" s="103">
        <f t="shared" si="9"/>
        <v>205</v>
      </c>
      <c r="F66" s="103">
        <f t="shared" si="8"/>
        <v>205</v>
      </c>
      <c r="G66" s="103">
        <v>1</v>
      </c>
      <c r="H66" s="102" t="s">
        <v>87</v>
      </c>
      <c r="I66" s="148"/>
      <c r="J66" s="152"/>
    </row>
    <row r="67" spans="1:10" s="27" customFormat="1" x14ac:dyDescent="0.2">
      <c r="A67" s="103" t="s">
        <v>13</v>
      </c>
      <c r="B67" s="103" t="s">
        <v>13</v>
      </c>
      <c r="C67" s="103" t="s">
        <v>151</v>
      </c>
      <c r="D67" s="103" t="s">
        <v>174</v>
      </c>
      <c r="E67" s="103">
        <f t="shared" si="9"/>
        <v>206</v>
      </c>
      <c r="F67" s="103">
        <f t="shared" si="8"/>
        <v>206</v>
      </c>
      <c r="G67" s="103">
        <v>1</v>
      </c>
      <c r="H67" s="102" t="s">
        <v>88</v>
      </c>
      <c r="I67" s="148"/>
      <c r="J67" s="152"/>
    </row>
    <row r="68" spans="1:10" s="27" customFormat="1" x14ac:dyDescent="0.2">
      <c r="A68" s="103" t="s">
        <v>13</v>
      </c>
      <c r="B68" s="103" t="s">
        <v>13</v>
      </c>
      <c r="C68" s="103" t="s">
        <v>151</v>
      </c>
      <c r="D68" s="103" t="s">
        <v>174</v>
      </c>
      <c r="E68" s="103">
        <f t="shared" si="9"/>
        <v>207</v>
      </c>
      <c r="F68" s="103">
        <f t="shared" si="8"/>
        <v>207</v>
      </c>
      <c r="G68" s="103">
        <v>1</v>
      </c>
      <c r="H68" s="102" t="s">
        <v>89</v>
      </c>
      <c r="I68" s="148"/>
      <c r="J68" s="152"/>
    </row>
    <row r="69" spans="1:10" s="27" customFormat="1" x14ac:dyDescent="0.2">
      <c r="A69" s="103" t="s">
        <v>13</v>
      </c>
      <c r="B69" s="103" t="s">
        <v>13</v>
      </c>
      <c r="C69" s="103" t="s">
        <v>151</v>
      </c>
      <c r="D69" s="103" t="s">
        <v>174</v>
      </c>
      <c r="E69" s="103">
        <f t="shared" si="9"/>
        <v>208</v>
      </c>
      <c r="F69" s="103">
        <f t="shared" si="8"/>
        <v>208</v>
      </c>
      <c r="G69" s="103">
        <v>1</v>
      </c>
      <c r="H69" s="102" t="s">
        <v>90</v>
      </c>
      <c r="I69" s="148"/>
      <c r="J69" s="152"/>
    </row>
    <row r="70" spans="1:10" s="27" customFormat="1" x14ac:dyDescent="0.2">
      <c r="A70" s="103" t="s">
        <v>13</v>
      </c>
      <c r="B70" s="103" t="s">
        <v>13</v>
      </c>
      <c r="C70" s="103" t="s">
        <v>151</v>
      </c>
      <c r="D70" s="103" t="s">
        <v>174</v>
      </c>
      <c r="E70" s="103">
        <f t="shared" si="9"/>
        <v>209</v>
      </c>
      <c r="F70" s="103">
        <f t="shared" si="8"/>
        <v>209</v>
      </c>
      <c r="G70" s="103">
        <v>1</v>
      </c>
      <c r="H70" s="102" t="s">
        <v>91</v>
      </c>
      <c r="I70" s="148"/>
      <c r="J70" s="152"/>
    </row>
    <row r="71" spans="1:10" s="27" customFormat="1" x14ac:dyDescent="0.2">
      <c r="A71" s="103" t="s">
        <v>13</v>
      </c>
      <c r="B71" s="103" t="s">
        <v>13</v>
      </c>
      <c r="C71" s="103" t="s">
        <v>151</v>
      </c>
      <c r="D71" s="103" t="s">
        <v>174</v>
      </c>
      <c r="E71" s="103">
        <f t="shared" si="9"/>
        <v>210</v>
      </c>
      <c r="F71" s="103">
        <f t="shared" si="8"/>
        <v>210</v>
      </c>
      <c r="G71" s="103">
        <v>1</v>
      </c>
      <c r="H71" s="102" t="s">
        <v>92</v>
      </c>
      <c r="I71" s="148"/>
      <c r="J71" s="152"/>
    </row>
    <row r="72" spans="1:10" s="27" customFormat="1" x14ac:dyDescent="0.2">
      <c r="A72" s="103" t="s">
        <v>13</v>
      </c>
      <c r="B72" s="103" t="s">
        <v>13</v>
      </c>
      <c r="C72" s="103" t="s">
        <v>151</v>
      </c>
      <c r="D72" s="103" t="s">
        <v>174</v>
      </c>
      <c r="E72" s="103">
        <f t="shared" si="9"/>
        <v>211</v>
      </c>
      <c r="F72" s="103">
        <f t="shared" si="8"/>
        <v>211</v>
      </c>
      <c r="G72" s="103">
        <v>1</v>
      </c>
      <c r="H72" s="102" t="s">
        <v>93</v>
      </c>
      <c r="I72" s="148"/>
      <c r="J72" s="152"/>
    </row>
    <row r="73" spans="1:10" s="27" customFormat="1" x14ac:dyDescent="0.2">
      <c r="A73" s="103"/>
      <c r="B73" s="103"/>
      <c r="C73" s="103"/>
      <c r="D73" s="103"/>
      <c r="E73" s="103">
        <f t="shared" si="9"/>
        <v>212</v>
      </c>
      <c r="F73" s="103">
        <f t="shared" si="8"/>
        <v>216</v>
      </c>
      <c r="G73" s="103">
        <v>5</v>
      </c>
      <c r="H73" s="102" t="s">
        <v>271</v>
      </c>
      <c r="I73" s="101"/>
      <c r="J73" s="104"/>
    </row>
    <row r="74" spans="1:10" s="27" customFormat="1" ht="38.25" x14ac:dyDescent="0.2">
      <c r="A74" s="103" t="s">
        <v>14</v>
      </c>
      <c r="B74" s="103" t="s">
        <v>14</v>
      </c>
      <c r="C74" s="103"/>
      <c r="D74" s="103" t="s">
        <v>174</v>
      </c>
      <c r="E74" s="103">
        <f t="shared" si="9"/>
        <v>217</v>
      </c>
      <c r="F74" s="103">
        <f t="shared" si="8"/>
        <v>217</v>
      </c>
      <c r="G74" s="103">
        <v>1</v>
      </c>
      <c r="H74" s="102" t="s">
        <v>541</v>
      </c>
      <c r="I74" s="101" t="s">
        <v>346</v>
      </c>
      <c r="J74" s="104" t="s">
        <v>16</v>
      </c>
    </row>
    <row r="75" spans="1:10" s="27" customFormat="1" x14ac:dyDescent="0.2">
      <c r="A75" s="103"/>
      <c r="B75" s="103"/>
      <c r="C75" s="103"/>
      <c r="D75" s="103"/>
      <c r="E75" s="103"/>
      <c r="F75" s="103"/>
      <c r="G75" s="103"/>
      <c r="H75" s="118" t="s">
        <v>94</v>
      </c>
      <c r="I75" s="101"/>
      <c r="J75" s="104" t="s">
        <v>16</v>
      </c>
    </row>
    <row r="76" spans="1:10" s="27" customFormat="1" x14ac:dyDescent="0.2">
      <c r="A76" s="103" t="s">
        <v>13</v>
      </c>
      <c r="B76" s="103" t="s">
        <v>13</v>
      </c>
      <c r="C76" s="103" t="s">
        <v>151</v>
      </c>
      <c r="D76" s="103" t="s">
        <v>174</v>
      </c>
      <c r="E76" s="103">
        <f>E74+G74</f>
        <v>218</v>
      </c>
      <c r="F76" s="103">
        <f>E76+G76-1</f>
        <v>218</v>
      </c>
      <c r="G76" s="103">
        <v>1</v>
      </c>
      <c r="H76" s="102" t="s">
        <v>83</v>
      </c>
      <c r="I76" s="148" t="s">
        <v>346</v>
      </c>
      <c r="J76" s="104"/>
    </row>
    <row r="77" spans="1:10" s="27" customFormat="1" x14ac:dyDescent="0.2">
      <c r="A77" s="103" t="s">
        <v>13</v>
      </c>
      <c r="B77" s="103" t="s">
        <v>13</v>
      </c>
      <c r="C77" s="103" t="s">
        <v>151</v>
      </c>
      <c r="D77" s="103" t="s">
        <v>174</v>
      </c>
      <c r="E77" s="103">
        <f>E76+G76</f>
        <v>219</v>
      </c>
      <c r="F77" s="103">
        <f t="shared" ref="F77:F98" si="10">E77+G77-1</f>
        <v>219</v>
      </c>
      <c r="G77" s="103">
        <v>1</v>
      </c>
      <c r="H77" s="102" t="s">
        <v>88</v>
      </c>
      <c r="I77" s="148"/>
      <c r="J77" s="104"/>
    </row>
    <row r="78" spans="1:10" s="27" customFormat="1" x14ac:dyDescent="0.2">
      <c r="A78" s="103" t="s">
        <v>13</v>
      </c>
      <c r="B78" s="103" t="s">
        <v>13</v>
      </c>
      <c r="C78" s="103" t="s">
        <v>151</v>
      </c>
      <c r="D78" s="103" t="s">
        <v>174</v>
      </c>
      <c r="E78" s="103">
        <f>E77+G77</f>
        <v>220</v>
      </c>
      <c r="F78" s="103">
        <f t="shared" si="10"/>
        <v>220</v>
      </c>
      <c r="G78" s="103">
        <v>1</v>
      </c>
      <c r="H78" s="102" t="s">
        <v>91</v>
      </c>
      <c r="I78" s="148"/>
      <c r="J78" s="104"/>
    </row>
    <row r="79" spans="1:10" s="27" customFormat="1" ht="25.5" x14ac:dyDescent="0.2">
      <c r="A79" s="103" t="s">
        <v>13</v>
      </c>
      <c r="B79" s="103" t="s">
        <v>13</v>
      </c>
      <c r="C79" s="103" t="s">
        <v>151</v>
      </c>
      <c r="D79" s="103" t="s">
        <v>174</v>
      </c>
      <c r="E79" s="103">
        <f>E78+G78</f>
        <v>221</v>
      </c>
      <c r="F79" s="103">
        <f t="shared" si="10"/>
        <v>221</v>
      </c>
      <c r="G79" s="103">
        <v>1</v>
      </c>
      <c r="H79" s="105" t="s">
        <v>539</v>
      </c>
      <c r="I79" s="148"/>
      <c r="J79" s="101"/>
    </row>
    <row r="80" spans="1:10" s="27" customFormat="1" ht="25.5" x14ac:dyDescent="0.2">
      <c r="A80" s="103" t="s">
        <v>13</v>
      </c>
      <c r="B80" s="103" t="s">
        <v>13</v>
      </c>
      <c r="C80" s="103" t="s">
        <v>151</v>
      </c>
      <c r="D80" s="103" t="s">
        <v>174</v>
      </c>
      <c r="E80" s="103">
        <f>E79+G79</f>
        <v>222</v>
      </c>
      <c r="F80" s="103">
        <f t="shared" si="10"/>
        <v>222</v>
      </c>
      <c r="G80" s="103">
        <v>1</v>
      </c>
      <c r="H80" s="105" t="s">
        <v>540</v>
      </c>
      <c r="I80" s="148"/>
      <c r="J80" s="101"/>
    </row>
    <row r="81" spans="1:17" s="27" customFormat="1" x14ac:dyDescent="0.2">
      <c r="A81" s="103" t="s">
        <v>13</v>
      </c>
      <c r="B81" s="103" t="s">
        <v>13</v>
      </c>
      <c r="C81" s="103" t="s">
        <v>151</v>
      </c>
      <c r="D81" s="103" t="s">
        <v>174</v>
      </c>
      <c r="E81" s="103">
        <f>E80+G80</f>
        <v>223</v>
      </c>
      <c r="F81" s="103">
        <f t="shared" si="10"/>
        <v>223</v>
      </c>
      <c r="G81" s="103">
        <v>1</v>
      </c>
      <c r="H81" s="102" t="s">
        <v>92</v>
      </c>
      <c r="I81" s="148"/>
      <c r="J81" s="104"/>
    </row>
    <row r="82" spans="1:17" s="27" customFormat="1" x14ac:dyDescent="0.2">
      <c r="A82" s="103"/>
      <c r="B82" s="103"/>
      <c r="C82" s="103"/>
      <c r="D82" s="103"/>
      <c r="E82" s="103"/>
      <c r="F82" s="103"/>
      <c r="G82" s="103"/>
      <c r="H82" s="118" t="s">
        <v>274</v>
      </c>
      <c r="I82" s="101"/>
      <c r="J82" s="104"/>
    </row>
    <row r="83" spans="1:17" s="27" customFormat="1" ht="63.75" x14ac:dyDescent="0.2">
      <c r="A83" s="103" t="s">
        <v>14</v>
      </c>
      <c r="B83" s="103" t="s">
        <v>14</v>
      </c>
      <c r="C83" s="103" t="s">
        <v>151</v>
      </c>
      <c r="D83" s="103" t="s">
        <v>174</v>
      </c>
      <c r="E83" s="103">
        <f>E81+G81</f>
        <v>224</v>
      </c>
      <c r="F83" s="103">
        <f t="shared" si="10"/>
        <v>224</v>
      </c>
      <c r="G83" s="103">
        <v>1</v>
      </c>
      <c r="H83" s="102" t="s">
        <v>254</v>
      </c>
      <c r="I83" s="101" t="s">
        <v>351</v>
      </c>
      <c r="J83" s="104" t="s">
        <v>16</v>
      </c>
      <c r="Q83" s="33"/>
    </row>
    <row r="84" spans="1:17" s="27" customFormat="1" x14ac:dyDescent="0.2">
      <c r="A84" s="103" t="s">
        <v>14</v>
      </c>
      <c r="B84" s="103" t="s">
        <v>14</v>
      </c>
      <c r="C84" s="103" t="s">
        <v>151</v>
      </c>
      <c r="D84" s="103" t="s">
        <v>174</v>
      </c>
      <c r="E84" s="103">
        <f>E83+G83</f>
        <v>225</v>
      </c>
      <c r="F84" s="103">
        <f t="shared" si="10"/>
        <v>225</v>
      </c>
      <c r="G84" s="103">
        <v>1</v>
      </c>
      <c r="H84" s="102" t="s">
        <v>379</v>
      </c>
      <c r="I84" s="148" t="s">
        <v>346</v>
      </c>
      <c r="J84" s="152" t="s">
        <v>16</v>
      </c>
    </row>
    <row r="85" spans="1:17" s="27" customFormat="1" x14ac:dyDescent="0.2">
      <c r="A85" s="103" t="s">
        <v>14</v>
      </c>
      <c r="B85" s="103" t="s">
        <v>14</v>
      </c>
      <c r="C85" s="103" t="s">
        <v>151</v>
      </c>
      <c r="D85" s="103" t="s">
        <v>174</v>
      </c>
      <c r="E85" s="103">
        <f>E84+G84</f>
        <v>226</v>
      </c>
      <c r="F85" s="103">
        <f t="shared" si="10"/>
        <v>226</v>
      </c>
      <c r="G85" s="103">
        <v>1</v>
      </c>
      <c r="H85" s="102" t="s">
        <v>255</v>
      </c>
      <c r="I85" s="148"/>
      <c r="J85" s="152"/>
    </row>
    <row r="86" spans="1:17" s="27" customFormat="1" x14ac:dyDescent="0.2">
      <c r="A86" s="103" t="s">
        <v>14</v>
      </c>
      <c r="B86" s="103" t="s">
        <v>14</v>
      </c>
      <c r="C86" s="103" t="s">
        <v>151</v>
      </c>
      <c r="D86" s="103" t="s">
        <v>174</v>
      </c>
      <c r="E86" s="103">
        <f t="shared" ref="E86:E96" si="11">E85+G85</f>
        <v>227</v>
      </c>
      <c r="F86" s="103">
        <f t="shared" si="10"/>
        <v>227</v>
      </c>
      <c r="G86" s="103">
        <v>1</v>
      </c>
      <c r="H86" s="102" t="s">
        <v>256</v>
      </c>
      <c r="I86" s="148"/>
      <c r="J86" s="152"/>
    </row>
    <row r="87" spans="1:17" s="27" customFormat="1" x14ac:dyDescent="0.2">
      <c r="A87" s="103" t="s">
        <v>14</v>
      </c>
      <c r="B87" s="103" t="s">
        <v>14</v>
      </c>
      <c r="C87" s="103" t="s">
        <v>151</v>
      </c>
      <c r="D87" s="103" t="s">
        <v>174</v>
      </c>
      <c r="E87" s="103">
        <f t="shared" si="11"/>
        <v>228</v>
      </c>
      <c r="F87" s="103">
        <f t="shared" si="10"/>
        <v>228</v>
      </c>
      <c r="G87" s="103">
        <v>1</v>
      </c>
      <c r="H87" s="102" t="s">
        <v>257</v>
      </c>
      <c r="I87" s="148"/>
      <c r="J87" s="152"/>
    </row>
    <row r="88" spans="1:17" s="27" customFormat="1" x14ac:dyDescent="0.2">
      <c r="A88" s="103" t="s">
        <v>14</v>
      </c>
      <c r="B88" s="103" t="s">
        <v>14</v>
      </c>
      <c r="C88" s="103" t="s">
        <v>151</v>
      </c>
      <c r="D88" s="103" t="s">
        <v>174</v>
      </c>
      <c r="E88" s="103">
        <f t="shared" si="11"/>
        <v>229</v>
      </c>
      <c r="F88" s="103">
        <f t="shared" si="10"/>
        <v>229</v>
      </c>
      <c r="G88" s="103">
        <v>1</v>
      </c>
      <c r="H88" s="102" t="s">
        <v>258</v>
      </c>
      <c r="I88" s="148"/>
      <c r="J88" s="152"/>
    </row>
    <row r="89" spans="1:17" s="27" customFormat="1" x14ac:dyDescent="0.2">
      <c r="A89" s="103"/>
      <c r="B89" s="103"/>
      <c r="C89" s="103"/>
      <c r="D89" s="103"/>
      <c r="E89" s="103">
        <f t="shared" si="11"/>
        <v>230</v>
      </c>
      <c r="F89" s="103">
        <f t="shared" si="10"/>
        <v>239</v>
      </c>
      <c r="G89" s="103">
        <v>10</v>
      </c>
      <c r="H89" s="102" t="s">
        <v>271</v>
      </c>
      <c r="I89" s="101"/>
      <c r="J89" s="104"/>
    </row>
    <row r="90" spans="1:17" s="27" customFormat="1" x14ac:dyDescent="0.2">
      <c r="A90" s="103" t="s">
        <v>14</v>
      </c>
      <c r="B90" s="103" t="s">
        <v>14</v>
      </c>
      <c r="C90" s="103"/>
      <c r="D90" s="103" t="s">
        <v>373</v>
      </c>
      <c r="E90" s="103">
        <f t="shared" si="11"/>
        <v>240</v>
      </c>
      <c r="F90" s="103">
        <f t="shared" si="10"/>
        <v>240</v>
      </c>
      <c r="G90" s="103">
        <v>1</v>
      </c>
      <c r="H90" s="30" t="s">
        <v>313</v>
      </c>
      <c r="I90" s="148" t="s">
        <v>346</v>
      </c>
      <c r="J90" s="148" t="s">
        <v>353</v>
      </c>
    </row>
    <row r="91" spans="1:17" s="27" customFormat="1" x14ac:dyDescent="0.2">
      <c r="A91" s="103" t="s">
        <v>14</v>
      </c>
      <c r="B91" s="103" t="s">
        <v>14</v>
      </c>
      <c r="C91" s="103"/>
      <c r="D91" s="103" t="s">
        <v>373</v>
      </c>
      <c r="E91" s="103">
        <f t="shared" si="11"/>
        <v>241</v>
      </c>
      <c r="F91" s="103">
        <f t="shared" si="10"/>
        <v>241</v>
      </c>
      <c r="G91" s="103">
        <v>1</v>
      </c>
      <c r="H91" s="30" t="s">
        <v>314</v>
      </c>
      <c r="I91" s="152"/>
      <c r="J91" s="148"/>
    </row>
    <row r="92" spans="1:17" s="27" customFormat="1" x14ac:dyDescent="0.2">
      <c r="A92" s="103" t="s">
        <v>14</v>
      </c>
      <c r="B92" s="103" t="s">
        <v>14</v>
      </c>
      <c r="C92" s="103"/>
      <c r="D92" s="103" t="s">
        <v>373</v>
      </c>
      <c r="E92" s="103">
        <f t="shared" si="11"/>
        <v>242</v>
      </c>
      <c r="F92" s="103">
        <f t="shared" si="10"/>
        <v>242</v>
      </c>
      <c r="G92" s="103">
        <v>1</v>
      </c>
      <c r="H92" s="30" t="s">
        <v>315</v>
      </c>
      <c r="I92" s="152"/>
      <c r="J92" s="148" t="s">
        <v>352</v>
      </c>
    </row>
    <row r="93" spans="1:17" s="27" customFormat="1" x14ac:dyDescent="0.2">
      <c r="A93" s="103" t="s">
        <v>14</v>
      </c>
      <c r="B93" s="103" t="s">
        <v>14</v>
      </c>
      <c r="C93" s="103"/>
      <c r="D93" s="103" t="s">
        <v>373</v>
      </c>
      <c r="E93" s="103">
        <f t="shared" si="11"/>
        <v>243</v>
      </c>
      <c r="F93" s="103">
        <f t="shared" si="10"/>
        <v>243</v>
      </c>
      <c r="G93" s="103">
        <v>1</v>
      </c>
      <c r="H93" s="30" t="s">
        <v>316</v>
      </c>
      <c r="I93" s="152"/>
      <c r="J93" s="148"/>
    </row>
    <row r="94" spans="1:17" s="27" customFormat="1" ht="38.25" x14ac:dyDescent="0.2">
      <c r="A94" s="103" t="s">
        <v>14</v>
      </c>
      <c r="B94" s="103" t="s">
        <v>14</v>
      </c>
      <c r="C94" s="103"/>
      <c r="D94" s="103" t="s">
        <v>174</v>
      </c>
      <c r="E94" s="103">
        <f>E93+G93</f>
        <v>244</v>
      </c>
      <c r="F94" s="103">
        <f t="shared" si="10"/>
        <v>244</v>
      </c>
      <c r="G94" s="103">
        <v>1</v>
      </c>
      <c r="H94" s="102" t="s">
        <v>252</v>
      </c>
      <c r="I94" s="101" t="s">
        <v>346</v>
      </c>
      <c r="J94" s="104" t="s">
        <v>16</v>
      </c>
    </row>
    <row r="95" spans="1:17" s="27" customFormat="1" ht="38.25" x14ac:dyDescent="0.2">
      <c r="A95" s="103" t="s">
        <v>14</v>
      </c>
      <c r="B95" s="103" t="s">
        <v>14</v>
      </c>
      <c r="C95" s="103"/>
      <c r="D95" s="103" t="s">
        <v>174</v>
      </c>
      <c r="E95" s="103">
        <f t="shared" si="11"/>
        <v>245</v>
      </c>
      <c r="F95" s="103">
        <f t="shared" si="10"/>
        <v>245</v>
      </c>
      <c r="G95" s="103">
        <v>1</v>
      </c>
      <c r="H95" s="102" t="s">
        <v>95</v>
      </c>
      <c r="I95" s="101" t="s">
        <v>346</v>
      </c>
      <c r="J95" s="104" t="s">
        <v>16</v>
      </c>
    </row>
    <row r="96" spans="1:17" s="27" customFormat="1" x14ac:dyDescent="0.2">
      <c r="A96" s="137"/>
      <c r="B96" s="137"/>
      <c r="C96" s="137"/>
      <c r="D96" s="137"/>
      <c r="E96" s="138">
        <f t="shared" si="11"/>
        <v>246</v>
      </c>
      <c r="F96" s="138">
        <f t="shared" si="10"/>
        <v>288</v>
      </c>
      <c r="G96" s="138">
        <v>43</v>
      </c>
      <c r="H96" s="142" t="s">
        <v>271</v>
      </c>
      <c r="I96" s="139"/>
      <c r="J96" s="140"/>
    </row>
    <row r="97" spans="1:12" s="27" customFormat="1" ht="38.25" x14ac:dyDescent="0.2">
      <c r="A97" s="103" t="s">
        <v>13</v>
      </c>
      <c r="B97" s="103" t="s">
        <v>13</v>
      </c>
      <c r="C97" s="103"/>
      <c r="D97" s="103" t="s">
        <v>174</v>
      </c>
      <c r="E97" s="103">
        <f>E96+G96</f>
        <v>289</v>
      </c>
      <c r="F97" s="103">
        <f t="shared" si="10"/>
        <v>298</v>
      </c>
      <c r="G97" s="103">
        <v>10</v>
      </c>
      <c r="H97" s="102" t="s">
        <v>96</v>
      </c>
      <c r="I97" s="5" t="s">
        <v>389</v>
      </c>
      <c r="J97" s="104" t="s">
        <v>16</v>
      </c>
    </row>
    <row r="98" spans="1:12" s="27" customFormat="1" x14ac:dyDescent="0.2">
      <c r="A98" s="103"/>
      <c r="B98" s="103"/>
      <c r="C98" s="103"/>
      <c r="D98" s="103"/>
      <c r="E98" s="103">
        <f>E97+G97</f>
        <v>299</v>
      </c>
      <c r="F98" s="103">
        <f t="shared" si="10"/>
        <v>307</v>
      </c>
      <c r="G98" s="143">
        <v>9</v>
      </c>
      <c r="H98" s="30" t="s">
        <v>271</v>
      </c>
      <c r="I98" s="46"/>
      <c r="J98" s="101"/>
    </row>
    <row r="99" spans="1:12" s="27" customFormat="1" x14ac:dyDescent="0.2">
      <c r="A99" s="103"/>
      <c r="B99" s="103"/>
      <c r="C99" s="103"/>
      <c r="D99" s="103"/>
      <c r="E99" s="103"/>
      <c r="F99" s="103"/>
      <c r="G99" s="103"/>
      <c r="H99" s="117" t="s">
        <v>20</v>
      </c>
      <c r="I99" s="101"/>
      <c r="J99" s="101"/>
    </row>
    <row r="100" spans="1:12" s="31" customFormat="1" x14ac:dyDescent="0.2">
      <c r="A100" s="171" t="s">
        <v>13</v>
      </c>
      <c r="B100" s="171" t="s">
        <v>13</v>
      </c>
      <c r="C100" s="171" t="s">
        <v>151</v>
      </c>
      <c r="D100" s="171" t="s">
        <v>174</v>
      </c>
      <c r="E100" s="171">
        <f>E98+G98</f>
        <v>308</v>
      </c>
      <c r="F100" s="171">
        <f>E100+G100-1</f>
        <v>309</v>
      </c>
      <c r="G100" s="171">
        <v>2</v>
      </c>
      <c r="H100" s="160" t="s">
        <v>98</v>
      </c>
      <c r="I100" s="104" t="s">
        <v>99</v>
      </c>
      <c r="J100" s="148" t="s">
        <v>619</v>
      </c>
      <c r="K100" s="24"/>
      <c r="L100" s="24"/>
    </row>
    <row r="101" spans="1:12" s="31" customFormat="1" x14ac:dyDescent="0.2">
      <c r="A101" s="171"/>
      <c r="B101" s="171"/>
      <c r="C101" s="171"/>
      <c r="D101" s="171"/>
      <c r="E101" s="171"/>
      <c r="F101" s="171"/>
      <c r="G101" s="171"/>
      <c r="H101" s="160"/>
      <c r="I101" s="104" t="s">
        <v>100</v>
      </c>
      <c r="J101" s="152"/>
      <c r="K101" s="24"/>
      <c r="L101" s="24"/>
    </row>
    <row r="102" spans="1:12" s="31" customFormat="1" x14ac:dyDescent="0.2">
      <c r="A102" s="171"/>
      <c r="B102" s="171"/>
      <c r="C102" s="171"/>
      <c r="D102" s="171"/>
      <c r="E102" s="171"/>
      <c r="F102" s="171"/>
      <c r="G102" s="171"/>
      <c r="H102" s="160"/>
      <c r="I102" s="104" t="s">
        <v>101</v>
      </c>
      <c r="J102" s="152"/>
      <c r="K102" s="24"/>
      <c r="L102" s="24"/>
    </row>
    <row r="103" spans="1:12" s="31" customFormat="1" x14ac:dyDescent="0.2">
      <c r="A103" s="171"/>
      <c r="B103" s="171"/>
      <c r="C103" s="171"/>
      <c r="D103" s="171"/>
      <c r="E103" s="171"/>
      <c r="F103" s="171"/>
      <c r="G103" s="171"/>
      <c r="H103" s="160"/>
      <c r="I103" s="104" t="s">
        <v>102</v>
      </c>
      <c r="J103" s="152"/>
      <c r="K103" s="24"/>
      <c r="L103" s="24"/>
    </row>
    <row r="104" spans="1:12" s="31" customFormat="1" x14ac:dyDescent="0.2">
      <c r="A104" s="171"/>
      <c r="B104" s="171"/>
      <c r="C104" s="171"/>
      <c r="D104" s="171"/>
      <c r="E104" s="171"/>
      <c r="F104" s="171"/>
      <c r="G104" s="171"/>
      <c r="H104" s="160"/>
      <c r="I104" s="104" t="s">
        <v>103</v>
      </c>
      <c r="J104" s="152"/>
      <c r="K104" s="24"/>
      <c r="L104" s="24"/>
    </row>
    <row r="105" spans="1:12" s="31" customFormat="1" x14ac:dyDescent="0.2">
      <c r="A105" s="171"/>
      <c r="B105" s="171"/>
      <c r="C105" s="171"/>
      <c r="D105" s="171"/>
      <c r="E105" s="171"/>
      <c r="F105" s="171"/>
      <c r="G105" s="171"/>
      <c r="H105" s="160"/>
      <c r="I105" s="104" t="s">
        <v>104</v>
      </c>
      <c r="J105" s="152"/>
      <c r="K105" s="24"/>
      <c r="L105" s="24"/>
    </row>
    <row r="106" spans="1:12" s="31" customFormat="1" x14ac:dyDescent="0.2">
      <c r="A106" s="171"/>
      <c r="B106" s="171"/>
      <c r="C106" s="171"/>
      <c r="D106" s="171"/>
      <c r="E106" s="171"/>
      <c r="F106" s="171"/>
      <c r="G106" s="171"/>
      <c r="H106" s="160"/>
      <c r="I106" s="104" t="s">
        <v>105</v>
      </c>
      <c r="J106" s="152"/>
      <c r="K106" s="24"/>
      <c r="L106" s="24"/>
    </row>
    <row r="107" spans="1:12" s="31" customFormat="1" x14ac:dyDescent="0.2">
      <c r="A107" s="171"/>
      <c r="B107" s="171"/>
      <c r="C107" s="171"/>
      <c r="D107" s="171"/>
      <c r="E107" s="171"/>
      <c r="F107" s="171"/>
      <c r="G107" s="171"/>
      <c r="H107" s="160"/>
      <c r="I107" s="104" t="s">
        <v>106</v>
      </c>
      <c r="J107" s="152"/>
      <c r="K107" s="24"/>
      <c r="L107" s="24"/>
    </row>
    <row r="108" spans="1:12" s="31" customFormat="1" x14ac:dyDescent="0.2">
      <c r="A108" s="171"/>
      <c r="B108" s="171"/>
      <c r="C108" s="171"/>
      <c r="D108" s="171"/>
      <c r="E108" s="171"/>
      <c r="F108" s="171"/>
      <c r="G108" s="171"/>
      <c r="H108" s="160"/>
      <c r="I108" s="104" t="s">
        <v>107</v>
      </c>
      <c r="J108" s="152"/>
      <c r="K108" s="24"/>
      <c r="L108" s="24"/>
    </row>
    <row r="109" spans="1:12" s="31" customFormat="1" x14ac:dyDescent="0.2">
      <c r="A109" s="171"/>
      <c r="B109" s="171"/>
      <c r="C109" s="171"/>
      <c r="D109" s="171"/>
      <c r="E109" s="171"/>
      <c r="F109" s="171"/>
      <c r="G109" s="171"/>
      <c r="H109" s="160"/>
      <c r="I109" s="104" t="s">
        <v>108</v>
      </c>
      <c r="J109" s="152"/>
      <c r="K109" s="24"/>
      <c r="L109" s="24"/>
    </row>
    <row r="110" spans="1:12" s="31" customFormat="1" x14ac:dyDescent="0.2">
      <c r="A110" s="171"/>
      <c r="B110" s="171"/>
      <c r="C110" s="171"/>
      <c r="D110" s="171"/>
      <c r="E110" s="171"/>
      <c r="F110" s="171"/>
      <c r="G110" s="171"/>
      <c r="H110" s="160"/>
      <c r="I110" s="104" t="s">
        <v>109</v>
      </c>
      <c r="J110" s="152"/>
      <c r="K110" s="24"/>
      <c r="L110" s="24"/>
    </row>
    <row r="111" spans="1:12" s="31" customFormat="1" x14ac:dyDescent="0.2">
      <c r="A111" s="171"/>
      <c r="B111" s="171"/>
      <c r="C111" s="171"/>
      <c r="D111" s="171"/>
      <c r="E111" s="171"/>
      <c r="F111" s="171"/>
      <c r="G111" s="171"/>
      <c r="H111" s="160"/>
      <c r="I111" s="104" t="s">
        <v>110</v>
      </c>
      <c r="J111" s="152"/>
      <c r="K111" s="24"/>
      <c r="L111" s="24"/>
    </row>
    <row r="112" spans="1:12" s="31" customFormat="1" x14ac:dyDescent="0.2">
      <c r="A112" s="171"/>
      <c r="B112" s="171"/>
      <c r="C112" s="171"/>
      <c r="D112" s="171"/>
      <c r="E112" s="171"/>
      <c r="F112" s="171"/>
      <c r="G112" s="171"/>
      <c r="H112" s="160"/>
      <c r="I112" s="104" t="s">
        <v>111</v>
      </c>
      <c r="J112" s="152"/>
      <c r="K112" s="24"/>
      <c r="L112" s="24"/>
    </row>
    <row r="113" spans="1:12" s="31" customFormat="1" x14ac:dyDescent="0.2">
      <c r="A113" s="171"/>
      <c r="B113" s="171"/>
      <c r="C113" s="171"/>
      <c r="D113" s="171"/>
      <c r="E113" s="171"/>
      <c r="F113" s="171"/>
      <c r="G113" s="171"/>
      <c r="H113" s="160"/>
      <c r="I113" s="104" t="s">
        <v>112</v>
      </c>
      <c r="J113" s="152"/>
      <c r="K113" s="24"/>
      <c r="L113" s="24"/>
    </row>
    <row r="114" spans="1:12" s="31" customFormat="1" x14ac:dyDescent="0.2">
      <c r="A114" s="171"/>
      <c r="B114" s="171"/>
      <c r="C114" s="171"/>
      <c r="D114" s="171"/>
      <c r="E114" s="171"/>
      <c r="F114" s="171"/>
      <c r="G114" s="171"/>
      <c r="H114" s="160"/>
      <c r="I114" s="101" t="s">
        <v>158</v>
      </c>
      <c r="J114" s="152"/>
      <c r="K114" s="24"/>
      <c r="L114" s="24"/>
    </row>
    <row r="115" spans="1:12" s="31" customFormat="1" x14ac:dyDescent="0.2">
      <c r="A115" s="171"/>
      <c r="B115" s="171"/>
      <c r="C115" s="171"/>
      <c r="D115" s="171"/>
      <c r="E115" s="171"/>
      <c r="F115" s="171"/>
      <c r="G115" s="171"/>
      <c r="H115" s="160"/>
      <c r="I115" s="101" t="s">
        <v>113</v>
      </c>
      <c r="J115" s="152"/>
      <c r="K115" s="24"/>
      <c r="L115" s="24"/>
    </row>
    <row r="116" spans="1:12" s="31" customFormat="1" x14ac:dyDescent="0.2">
      <c r="A116" s="171"/>
      <c r="B116" s="171"/>
      <c r="C116" s="171"/>
      <c r="D116" s="171"/>
      <c r="E116" s="171"/>
      <c r="F116" s="171"/>
      <c r="G116" s="171"/>
      <c r="H116" s="160"/>
      <c r="I116" s="101" t="s">
        <v>348</v>
      </c>
      <c r="J116" s="152"/>
      <c r="K116" s="24"/>
      <c r="L116" s="24"/>
    </row>
    <row r="117" spans="1:12" s="31" customFormat="1" x14ac:dyDescent="0.2">
      <c r="A117" s="171"/>
      <c r="B117" s="171"/>
      <c r="C117" s="171"/>
      <c r="D117" s="171"/>
      <c r="E117" s="171"/>
      <c r="F117" s="171"/>
      <c r="G117" s="171"/>
      <c r="H117" s="160"/>
      <c r="I117" s="101" t="s">
        <v>322</v>
      </c>
      <c r="J117" s="152"/>
      <c r="K117" s="24"/>
      <c r="L117" s="24"/>
    </row>
    <row r="118" spans="1:12" s="31" customFormat="1" ht="20.25" customHeight="1" x14ac:dyDescent="0.2">
      <c r="A118" s="103" t="s">
        <v>13</v>
      </c>
      <c r="B118" s="103" t="s">
        <v>13</v>
      </c>
      <c r="C118" s="103"/>
      <c r="D118" s="103" t="s">
        <v>374</v>
      </c>
      <c r="E118" s="103">
        <f>E100+G100</f>
        <v>310</v>
      </c>
      <c r="F118" s="103">
        <f t="shared" ref="F118:F124" si="12">E118+G118-1</f>
        <v>310</v>
      </c>
      <c r="G118" s="103">
        <v>1</v>
      </c>
      <c r="H118" s="102" t="s">
        <v>169</v>
      </c>
      <c r="I118" s="148" t="s">
        <v>346</v>
      </c>
      <c r="J118" s="148" t="s">
        <v>485</v>
      </c>
      <c r="K118" s="24"/>
      <c r="L118" s="24"/>
    </row>
    <row r="119" spans="1:12" s="31" customFormat="1" ht="20.25" customHeight="1" x14ac:dyDescent="0.2">
      <c r="A119" s="103" t="s">
        <v>13</v>
      </c>
      <c r="B119" s="103" t="s">
        <v>13</v>
      </c>
      <c r="C119" s="103"/>
      <c r="D119" s="103" t="s">
        <v>374</v>
      </c>
      <c r="E119" s="103">
        <f t="shared" ref="E119:E124" si="13">E118+G118</f>
        <v>311</v>
      </c>
      <c r="F119" s="103">
        <f t="shared" si="12"/>
        <v>311</v>
      </c>
      <c r="G119" s="103">
        <v>1</v>
      </c>
      <c r="H119" s="102" t="s">
        <v>170</v>
      </c>
      <c r="I119" s="148"/>
      <c r="J119" s="152"/>
      <c r="K119" s="24"/>
      <c r="L119" s="24"/>
    </row>
    <row r="120" spans="1:12" s="31" customFormat="1" ht="21" customHeight="1" x14ac:dyDescent="0.2">
      <c r="A120" s="103" t="s">
        <v>13</v>
      </c>
      <c r="B120" s="103" t="s">
        <v>13</v>
      </c>
      <c r="C120" s="103"/>
      <c r="D120" s="103" t="s">
        <v>374</v>
      </c>
      <c r="E120" s="103">
        <f t="shared" si="13"/>
        <v>312</v>
      </c>
      <c r="F120" s="103">
        <f t="shared" si="12"/>
        <v>312</v>
      </c>
      <c r="G120" s="103">
        <v>1</v>
      </c>
      <c r="H120" s="102" t="s">
        <v>171</v>
      </c>
      <c r="I120" s="148"/>
      <c r="J120" s="148" t="s">
        <v>486</v>
      </c>
      <c r="K120" s="24"/>
      <c r="L120" s="24"/>
    </row>
    <row r="121" spans="1:12" s="31" customFormat="1" ht="20.25" customHeight="1" x14ac:dyDescent="0.2">
      <c r="A121" s="103" t="s">
        <v>13</v>
      </c>
      <c r="B121" s="103" t="s">
        <v>13</v>
      </c>
      <c r="C121" s="103"/>
      <c r="D121" s="103" t="s">
        <v>374</v>
      </c>
      <c r="E121" s="103">
        <f t="shared" si="13"/>
        <v>313</v>
      </c>
      <c r="F121" s="103">
        <f t="shared" si="12"/>
        <v>313</v>
      </c>
      <c r="G121" s="103">
        <v>1</v>
      </c>
      <c r="H121" s="102" t="s">
        <v>172</v>
      </c>
      <c r="I121" s="148"/>
      <c r="J121" s="148"/>
      <c r="K121" s="24"/>
      <c r="L121" s="24"/>
    </row>
    <row r="122" spans="1:12" s="31" customFormat="1" x14ac:dyDescent="0.2">
      <c r="A122" s="103"/>
      <c r="B122" s="103"/>
      <c r="C122" s="103"/>
      <c r="D122" s="103"/>
      <c r="E122" s="103">
        <f t="shared" si="13"/>
        <v>314</v>
      </c>
      <c r="F122" s="103">
        <f t="shared" si="12"/>
        <v>314</v>
      </c>
      <c r="G122" s="103">
        <v>1</v>
      </c>
      <c r="H122" s="105" t="s">
        <v>271</v>
      </c>
      <c r="I122" s="101"/>
      <c r="J122" s="101"/>
    </row>
    <row r="123" spans="1:12" s="31" customFormat="1" ht="102" x14ac:dyDescent="0.2">
      <c r="A123" s="103" t="s">
        <v>13</v>
      </c>
      <c r="B123" s="103" t="s">
        <v>13</v>
      </c>
      <c r="C123" s="103"/>
      <c r="D123" s="103" t="s">
        <v>168</v>
      </c>
      <c r="E123" s="103">
        <f t="shared" si="13"/>
        <v>315</v>
      </c>
      <c r="F123" s="103">
        <f t="shared" si="12"/>
        <v>316</v>
      </c>
      <c r="G123" s="103">
        <v>2</v>
      </c>
      <c r="H123" s="102" t="s">
        <v>400</v>
      </c>
      <c r="I123" s="101" t="s">
        <v>323</v>
      </c>
      <c r="J123" s="101" t="s">
        <v>605</v>
      </c>
    </row>
    <row r="124" spans="1:12" s="31" customFormat="1" x14ac:dyDescent="0.2">
      <c r="A124" s="171" t="s">
        <v>14</v>
      </c>
      <c r="B124" s="171" t="s">
        <v>14</v>
      </c>
      <c r="C124" s="171"/>
      <c r="D124" s="171" t="s">
        <v>168</v>
      </c>
      <c r="E124" s="171">
        <f t="shared" si="13"/>
        <v>317</v>
      </c>
      <c r="F124" s="171">
        <f t="shared" si="12"/>
        <v>318</v>
      </c>
      <c r="G124" s="171">
        <v>2</v>
      </c>
      <c r="H124" s="172" t="s">
        <v>401</v>
      </c>
      <c r="I124" s="104" t="s">
        <v>99</v>
      </c>
      <c r="J124" s="148" t="s">
        <v>686</v>
      </c>
      <c r="K124" s="24"/>
      <c r="L124" s="24"/>
    </row>
    <row r="125" spans="1:12" s="31" customFormat="1" x14ac:dyDescent="0.2">
      <c r="A125" s="171"/>
      <c r="B125" s="171"/>
      <c r="C125" s="171"/>
      <c r="D125" s="171"/>
      <c r="E125" s="171"/>
      <c r="F125" s="171"/>
      <c r="G125" s="171"/>
      <c r="H125" s="172"/>
      <c r="I125" s="104" t="s">
        <v>100</v>
      </c>
      <c r="J125" s="148"/>
      <c r="K125" s="24"/>
      <c r="L125" s="24"/>
    </row>
    <row r="126" spans="1:12" s="31" customFormat="1" x14ac:dyDescent="0.2">
      <c r="A126" s="171"/>
      <c r="B126" s="171"/>
      <c r="C126" s="171"/>
      <c r="D126" s="171"/>
      <c r="E126" s="171"/>
      <c r="F126" s="171"/>
      <c r="G126" s="171"/>
      <c r="H126" s="172"/>
      <c r="I126" s="104" t="s">
        <v>101</v>
      </c>
      <c r="J126" s="148"/>
      <c r="K126" s="24"/>
      <c r="L126" s="24"/>
    </row>
    <row r="127" spans="1:12" s="31" customFormat="1" x14ac:dyDescent="0.2">
      <c r="A127" s="171"/>
      <c r="B127" s="171"/>
      <c r="C127" s="171"/>
      <c r="D127" s="171"/>
      <c r="E127" s="171"/>
      <c r="F127" s="171"/>
      <c r="G127" s="171"/>
      <c r="H127" s="172"/>
      <c r="I127" s="104" t="s">
        <v>102</v>
      </c>
      <c r="J127" s="148"/>
      <c r="K127" s="24"/>
      <c r="L127" s="24"/>
    </row>
    <row r="128" spans="1:12" s="31" customFormat="1" x14ac:dyDescent="0.2">
      <c r="A128" s="171"/>
      <c r="B128" s="171"/>
      <c r="C128" s="171"/>
      <c r="D128" s="171"/>
      <c r="E128" s="171"/>
      <c r="F128" s="171"/>
      <c r="G128" s="171"/>
      <c r="H128" s="172"/>
      <c r="I128" s="104" t="s">
        <v>103</v>
      </c>
      <c r="J128" s="148"/>
      <c r="K128" s="24"/>
      <c r="L128" s="24"/>
    </row>
    <row r="129" spans="1:17" s="31" customFormat="1" x14ac:dyDescent="0.2">
      <c r="A129" s="171"/>
      <c r="B129" s="171"/>
      <c r="C129" s="171"/>
      <c r="D129" s="171"/>
      <c r="E129" s="171"/>
      <c r="F129" s="171"/>
      <c r="G129" s="171"/>
      <c r="H129" s="172"/>
      <c r="I129" s="104" t="s">
        <v>104</v>
      </c>
      <c r="J129" s="148"/>
      <c r="K129" s="24"/>
      <c r="L129" s="24"/>
    </row>
    <row r="130" spans="1:17" s="31" customFormat="1" x14ac:dyDescent="0.2">
      <c r="A130" s="171"/>
      <c r="B130" s="171"/>
      <c r="C130" s="171"/>
      <c r="D130" s="171"/>
      <c r="E130" s="171"/>
      <c r="F130" s="171"/>
      <c r="G130" s="171"/>
      <c r="H130" s="172"/>
      <c r="I130" s="104" t="s">
        <v>105</v>
      </c>
      <c r="J130" s="148"/>
      <c r="K130" s="24"/>
      <c r="L130" s="24"/>
    </row>
    <row r="131" spans="1:17" s="31" customFormat="1" x14ac:dyDescent="0.2">
      <c r="A131" s="171"/>
      <c r="B131" s="171"/>
      <c r="C131" s="171"/>
      <c r="D131" s="171"/>
      <c r="E131" s="171"/>
      <c r="F131" s="171"/>
      <c r="G131" s="171"/>
      <c r="H131" s="172"/>
      <c r="I131" s="104" t="s">
        <v>106</v>
      </c>
      <c r="J131" s="148"/>
      <c r="K131" s="24"/>
      <c r="L131" s="24"/>
    </row>
    <row r="132" spans="1:17" s="31" customFormat="1" x14ac:dyDescent="0.2">
      <c r="A132" s="171"/>
      <c r="B132" s="171"/>
      <c r="C132" s="171"/>
      <c r="D132" s="171"/>
      <c r="E132" s="171"/>
      <c r="F132" s="171"/>
      <c r="G132" s="171"/>
      <c r="H132" s="172"/>
      <c r="I132" s="104" t="s">
        <v>107</v>
      </c>
      <c r="J132" s="148"/>
      <c r="K132" s="24"/>
      <c r="L132" s="24"/>
    </row>
    <row r="133" spans="1:17" s="31" customFormat="1" x14ac:dyDescent="0.2">
      <c r="A133" s="171"/>
      <c r="B133" s="171"/>
      <c r="C133" s="171"/>
      <c r="D133" s="171"/>
      <c r="E133" s="171"/>
      <c r="F133" s="171"/>
      <c r="G133" s="171"/>
      <c r="H133" s="172"/>
      <c r="I133" s="104" t="s">
        <v>108</v>
      </c>
      <c r="J133" s="148"/>
      <c r="K133" s="24"/>
      <c r="L133" s="24"/>
    </row>
    <row r="134" spans="1:17" s="31" customFormat="1" x14ac:dyDescent="0.2">
      <c r="A134" s="171"/>
      <c r="B134" s="171"/>
      <c r="C134" s="171"/>
      <c r="D134" s="171"/>
      <c r="E134" s="171"/>
      <c r="F134" s="171"/>
      <c r="G134" s="171"/>
      <c r="H134" s="172"/>
      <c r="I134" s="104" t="s">
        <v>109</v>
      </c>
      <c r="J134" s="148"/>
      <c r="K134" s="24"/>
      <c r="L134" s="24"/>
    </row>
    <row r="135" spans="1:17" s="31" customFormat="1" x14ac:dyDescent="0.2">
      <c r="A135" s="171"/>
      <c r="B135" s="171"/>
      <c r="C135" s="171"/>
      <c r="D135" s="171"/>
      <c r="E135" s="171"/>
      <c r="F135" s="171"/>
      <c r="G135" s="171"/>
      <c r="H135" s="172"/>
      <c r="I135" s="104" t="s">
        <v>110</v>
      </c>
      <c r="J135" s="148"/>
      <c r="K135" s="24"/>
      <c r="L135" s="24"/>
    </row>
    <row r="136" spans="1:17" s="31" customFormat="1" x14ac:dyDescent="0.2">
      <c r="A136" s="171"/>
      <c r="B136" s="171"/>
      <c r="C136" s="171"/>
      <c r="D136" s="171"/>
      <c r="E136" s="171"/>
      <c r="F136" s="171"/>
      <c r="G136" s="171"/>
      <c r="H136" s="172"/>
      <c r="I136" s="104" t="s">
        <v>111</v>
      </c>
      <c r="J136" s="148"/>
      <c r="K136" s="24"/>
      <c r="L136" s="24"/>
    </row>
    <row r="137" spans="1:17" s="31" customFormat="1" x14ac:dyDescent="0.2">
      <c r="A137" s="171"/>
      <c r="B137" s="171"/>
      <c r="C137" s="171"/>
      <c r="D137" s="171"/>
      <c r="E137" s="171"/>
      <c r="F137" s="171"/>
      <c r="G137" s="171"/>
      <c r="H137" s="172"/>
      <c r="I137" s="104" t="s">
        <v>112</v>
      </c>
      <c r="J137" s="148"/>
      <c r="K137" s="24"/>
      <c r="L137" s="24"/>
    </row>
    <row r="138" spans="1:17" s="31" customFormat="1" x14ac:dyDescent="0.2">
      <c r="A138" s="171"/>
      <c r="B138" s="171"/>
      <c r="C138" s="171"/>
      <c r="D138" s="171"/>
      <c r="E138" s="171"/>
      <c r="F138" s="171"/>
      <c r="G138" s="171"/>
      <c r="H138" s="172"/>
      <c r="I138" s="101" t="s">
        <v>158</v>
      </c>
      <c r="J138" s="148"/>
      <c r="K138" s="24"/>
      <c r="L138" s="24"/>
    </row>
    <row r="139" spans="1:17" s="31" customFormat="1" x14ac:dyDescent="0.2">
      <c r="A139" s="171"/>
      <c r="B139" s="171"/>
      <c r="C139" s="171"/>
      <c r="D139" s="171"/>
      <c r="E139" s="171"/>
      <c r="F139" s="171"/>
      <c r="G139" s="171"/>
      <c r="H139" s="172"/>
      <c r="I139" s="101" t="s">
        <v>113</v>
      </c>
      <c r="J139" s="148"/>
      <c r="K139" s="24"/>
      <c r="L139" s="24"/>
    </row>
    <row r="140" spans="1:17" s="31" customFormat="1" x14ac:dyDescent="0.2">
      <c r="A140" s="171"/>
      <c r="B140" s="171"/>
      <c r="C140" s="171"/>
      <c r="D140" s="171"/>
      <c r="E140" s="171"/>
      <c r="F140" s="171"/>
      <c r="G140" s="171"/>
      <c r="H140" s="172"/>
      <c r="I140" s="101" t="s">
        <v>322</v>
      </c>
      <c r="J140" s="148"/>
      <c r="K140" s="24"/>
      <c r="L140" s="24"/>
    </row>
    <row r="141" spans="1:17" s="31" customFormat="1" x14ac:dyDescent="0.2">
      <c r="A141" s="103"/>
      <c r="B141" s="103"/>
      <c r="C141" s="103"/>
      <c r="D141" s="103"/>
      <c r="E141" s="103"/>
      <c r="F141" s="103"/>
      <c r="G141" s="103"/>
      <c r="H141" s="118" t="s">
        <v>275</v>
      </c>
      <c r="I141" s="101"/>
      <c r="J141" s="101"/>
      <c r="K141" s="24"/>
      <c r="L141" s="24"/>
    </row>
    <row r="142" spans="1:17" s="31" customFormat="1" ht="51" x14ac:dyDescent="0.2">
      <c r="A142" s="103" t="s">
        <v>14</v>
      </c>
      <c r="B142" s="103" t="s">
        <v>14</v>
      </c>
      <c r="C142" s="103"/>
      <c r="D142" s="103" t="s">
        <v>168</v>
      </c>
      <c r="E142" s="103">
        <f>E124+G124</f>
        <v>319</v>
      </c>
      <c r="F142" s="103">
        <f t="shared" ref="F142:F152" si="14">E142+G142-1</f>
        <v>319</v>
      </c>
      <c r="G142" s="103">
        <v>1</v>
      </c>
      <c r="H142" s="102" t="s">
        <v>259</v>
      </c>
      <c r="I142" s="101" t="s">
        <v>327</v>
      </c>
      <c r="J142" s="134" t="s">
        <v>748</v>
      </c>
      <c r="K142" s="24"/>
      <c r="L142" s="24"/>
      <c r="Q142" s="158"/>
    </row>
    <row r="143" spans="1:17" s="31" customFormat="1" ht="38.25" x14ac:dyDescent="0.2">
      <c r="A143" s="103" t="s">
        <v>14</v>
      </c>
      <c r="B143" s="103" t="s">
        <v>14</v>
      </c>
      <c r="C143" s="103"/>
      <c r="D143" s="103" t="s">
        <v>168</v>
      </c>
      <c r="E143" s="103">
        <f>E142+G142</f>
        <v>320</v>
      </c>
      <c r="F143" s="103">
        <f t="shared" si="14"/>
        <v>320</v>
      </c>
      <c r="G143" s="103">
        <v>1</v>
      </c>
      <c r="H143" s="102" t="s">
        <v>380</v>
      </c>
      <c r="I143" s="101" t="s">
        <v>381</v>
      </c>
      <c r="J143" s="150" t="s">
        <v>481</v>
      </c>
      <c r="K143" s="24"/>
      <c r="L143" s="24"/>
      <c r="Q143" s="159"/>
    </row>
    <row r="144" spans="1:17" s="31" customFormat="1" ht="38.25" x14ac:dyDescent="0.2">
      <c r="A144" s="103" t="s">
        <v>14</v>
      </c>
      <c r="B144" s="103" t="s">
        <v>14</v>
      </c>
      <c r="C144" s="103"/>
      <c r="D144" s="103" t="s">
        <v>168</v>
      </c>
      <c r="E144" s="103">
        <f t="shared" ref="E144:E152" si="15">E143+G143</f>
        <v>321</v>
      </c>
      <c r="F144" s="103">
        <f t="shared" si="14"/>
        <v>321</v>
      </c>
      <c r="G144" s="103">
        <v>1</v>
      </c>
      <c r="H144" s="102" t="s">
        <v>260</v>
      </c>
      <c r="I144" s="101" t="s">
        <v>358</v>
      </c>
      <c r="J144" s="154"/>
      <c r="K144" s="24"/>
      <c r="L144" s="24"/>
      <c r="Q144" s="159"/>
    </row>
    <row r="145" spans="1:17" s="31" customFormat="1" ht="38.25" x14ac:dyDescent="0.2">
      <c r="A145" s="103" t="s">
        <v>14</v>
      </c>
      <c r="B145" s="103" t="s">
        <v>14</v>
      </c>
      <c r="C145" s="103"/>
      <c r="D145" s="103" t="s">
        <v>168</v>
      </c>
      <c r="E145" s="103">
        <f t="shared" si="15"/>
        <v>322</v>
      </c>
      <c r="F145" s="103">
        <f t="shared" si="14"/>
        <v>322</v>
      </c>
      <c r="G145" s="103">
        <v>1</v>
      </c>
      <c r="H145" s="102" t="s">
        <v>261</v>
      </c>
      <c r="I145" s="101" t="s">
        <v>359</v>
      </c>
      <c r="J145" s="154"/>
      <c r="K145" s="24"/>
      <c r="L145" s="24"/>
      <c r="Q145" s="159"/>
    </row>
    <row r="146" spans="1:17" s="31" customFormat="1" ht="38.25" x14ac:dyDescent="0.2">
      <c r="A146" s="103" t="s">
        <v>14</v>
      </c>
      <c r="B146" s="103" t="s">
        <v>14</v>
      </c>
      <c r="C146" s="103"/>
      <c r="D146" s="103" t="s">
        <v>168</v>
      </c>
      <c r="E146" s="103">
        <f t="shared" si="15"/>
        <v>323</v>
      </c>
      <c r="F146" s="103">
        <f t="shared" si="14"/>
        <v>323</v>
      </c>
      <c r="G146" s="103">
        <v>1</v>
      </c>
      <c r="H146" s="102" t="s">
        <v>262</v>
      </c>
      <c r="I146" s="101" t="s">
        <v>360</v>
      </c>
      <c r="J146" s="154"/>
      <c r="K146" s="24"/>
      <c r="L146" s="24"/>
      <c r="Q146" s="159"/>
    </row>
    <row r="147" spans="1:17" s="31" customFormat="1" ht="38.25" x14ac:dyDescent="0.2">
      <c r="A147" s="103" t="s">
        <v>14</v>
      </c>
      <c r="B147" s="103" t="s">
        <v>14</v>
      </c>
      <c r="C147" s="103"/>
      <c r="D147" s="103" t="s">
        <v>168</v>
      </c>
      <c r="E147" s="103">
        <f t="shared" si="15"/>
        <v>324</v>
      </c>
      <c r="F147" s="103">
        <f t="shared" si="14"/>
        <v>324</v>
      </c>
      <c r="G147" s="103">
        <v>1</v>
      </c>
      <c r="H147" s="102" t="s">
        <v>263</v>
      </c>
      <c r="I147" s="101" t="s">
        <v>361</v>
      </c>
      <c r="J147" s="154"/>
      <c r="K147" s="24"/>
      <c r="L147" s="24"/>
      <c r="Q147" s="159"/>
    </row>
    <row r="148" spans="1:17" s="27" customFormat="1" x14ac:dyDescent="0.2">
      <c r="A148" s="103"/>
      <c r="B148" s="103"/>
      <c r="C148" s="103"/>
      <c r="D148" s="103"/>
      <c r="E148" s="103">
        <f t="shared" si="15"/>
        <v>325</v>
      </c>
      <c r="F148" s="103">
        <f t="shared" si="14"/>
        <v>325</v>
      </c>
      <c r="G148" s="103">
        <v>1</v>
      </c>
      <c r="H148" s="102" t="s">
        <v>271</v>
      </c>
      <c r="I148" s="101"/>
      <c r="J148" s="104"/>
    </row>
    <row r="149" spans="1:17" s="31" customFormat="1" ht="38.25" x14ac:dyDescent="0.2">
      <c r="A149" s="103" t="s">
        <v>13</v>
      </c>
      <c r="B149" s="103" t="s">
        <v>13</v>
      </c>
      <c r="C149" s="103" t="s">
        <v>151</v>
      </c>
      <c r="D149" s="103" t="s">
        <v>174</v>
      </c>
      <c r="E149" s="103">
        <f t="shared" si="15"/>
        <v>326</v>
      </c>
      <c r="F149" s="103">
        <f t="shared" si="14"/>
        <v>326</v>
      </c>
      <c r="G149" s="103">
        <v>1</v>
      </c>
      <c r="H149" s="102" t="s">
        <v>32</v>
      </c>
      <c r="I149" s="101" t="s">
        <v>0</v>
      </c>
      <c r="J149" s="107" t="s">
        <v>606</v>
      </c>
      <c r="Q149" s="56"/>
    </row>
    <row r="150" spans="1:17" s="31" customFormat="1" ht="38.25" x14ac:dyDescent="0.2">
      <c r="A150" s="103" t="s">
        <v>13</v>
      </c>
      <c r="B150" s="103" t="s">
        <v>13</v>
      </c>
      <c r="C150" s="103" t="s">
        <v>151</v>
      </c>
      <c r="D150" s="103" t="s">
        <v>174</v>
      </c>
      <c r="E150" s="103">
        <f t="shared" si="15"/>
        <v>327</v>
      </c>
      <c r="F150" s="103">
        <f t="shared" si="14"/>
        <v>327</v>
      </c>
      <c r="G150" s="103">
        <v>1</v>
      </c>
      <c r="H150" s="102" t="s">
        <v>253</v>
      </c>
      <c r="I150" s="101" t="s">
        <v>339</v>
      </c>
      <c r="J150" s="101" t="s">
        <v>606</v>
      </c>
    </row>
    <row r="151" spans="1:17" s="27" customFormat="1" ht="38.25" x14ac:dyDescent="0.2">
      <c r="A151" s="103" t="s">
        <v>13</v>
      </c>
      <c r="B151" s="103" t="s">
        <v>13</v>
      </c>
      <c r="C151" s="103" t="s">
        <v>151</v>
      </c>
      <c r="D151" s="103" t="s">
        <v>174</v>
      </c>
      <c r="E151" s="103">
        <f t="shared" si="15"/>
        <v>328</v>
      </c>
      <c r="F151" s="103">
        <f t="shared" si="14"/>
        <v>328</v>
      </c>
      <c r="G151" s="103">
        <v>1</v>
      </c>
      <c r="H151" s="102" t="s">
        <v>36</v>
      </c>
      <c r="I151" s="101" t="s">
        <v>340</v>
      </c>
      <c r="J151" s="101" t="s">
        <v>608</v>
      </c>
      <c r="Q151" s="56"/>
    </row>
    <row r="152" spans="1:17" s="27" customFormat="1" x14ac:dyDescent="0.2">
      <c r="A152" s="103"/>
      <c r="B152" s="103"/>
      <c r="C152" s="103"/>
      <c r="D152" s="103"/>
      <c r="E152" s="103">
        <f t="shared" si="15"/>
        <v>329</v>
      </c>
      <c r="F152" s="103">
        <f t="shared" si="14"/>
        <v>333</v>
      </c>
      <c r="G152" s="103">
        <v>5</v>
      </c>
      <c r="H152" s="102" t="s">
        <v>271</v>
      </c>
      <c r="I152" s="101"/>
      <c r="J152" s="104"/>
    </row>
    <row r="153" spans="1:17" s="27" customFormat="1" x14ac:dyDescent="0.2">
      <c r="A153" s="103"/>
      <c r="B153" s="103"/>
      <c r="C153" s="103"/>
      <c r="D153" s="103"/>
      <c r="E153" s="103"/>
      <c r="F153" s="103"/>
      <c r="G153" s="103"/>
      <c r="H153" s="118" t="s">
        <v>154</v>
      </c>
      <c r="I153" s="101"/>
      <c r="J153" s="104"/>
    </row>
    <row r="154" spans="1:17" s="27" customFormat="1" x14ac:dyDescent="0.2">
      <c r="A154" s="103"/>
      <c r="B154" s="103"/>
      <c r="C154" s="103"/>
      <c r="D154" s="103"/>
      <c r="E154" s="103"/>
      <c r="F154" s="103"/>
      <c r="G154" s="103"/>
      <c r="H154" s="117" t="s">
        <v>155</v>
      </c>
      <c r="I154" s="101"/>
      <c r="J154" s="104"/>
    </row>
    <row r="155" spans="1:17" s="27" customFormat="1" ht="101.25" customHeight="1" x14ac:dyDescent="0.2">
      <c r="A155" s="103" t="s">
        <v>14</v>
      </c>
      <c r="B155" s="103" t="s">
        <v>14</v>
      </c>
      <c r="C155" s="103" t="s">
        <v>479</v>
      </c>
      <c r="D155" s="103" t="s">
        <v>174</v>
      </c>
      <c r="E155" s="103">
        <f>E152+G152</f>
        <v>334</v>
      </c>
      <c r="F155" s="103">
        <f>E155+G155-1</f>
        <v>813</v>
      </c>
      <c r="G155" s="103">
        <v>480</v>
      </c>
      <c r="H155" s="102" t="s">
        <v>114</v>
      </c>
      <c r="I155" s="148" t="s">
        <v>566</v>
      </c>
      <c r="J155" s="148" t="s">
        <v>620</v>
      </c>
    </row>
    <row r="156" spans="1:17" s="27" customFormat="1" x14ac:dyDescent="0.2">
      <c r="A156" s="103"/>
      <c r="B156" s="103"/>
      <c r="C156" s="103"/>
      <c r="D156" s="103"/>
      <c r="E156" s="103">
        <f>E155+G155</f>
        <v>814</v>
      </c>
      <c r="F156" s="103">
        <f t="shared" ref="F156:F162" si="16">E156+G156-1</f>
        <v>963</v>
      </c>
      <c r="G156" s="103">
        <v>150</v>
      </c>
      <c r="H156" s="102" t="s">
        <v>271</v>
      </c>
      <c r="I156" s="148"/>
      <c r="J156" s="148"/>
    </row>
    <row r="157" spans="1:17" s="27" customFormat="1" ht="101.25" customHeight="1" x14ac:dyDescent="0.2">
      <c r="A157" s="103" t="s">
        <v>14</v>
      </c>
      <c r="B157" s="103" t="s">
        <v>14</v>
      </c>
      <c r="C157" s="103" t="s">
        <v>479</v>
      </c>
      <c r="D157" s="103" t="s">
        <v>174</v>
      </c>
      <c r="E157" s="103">
        <f t="shared" ref="E157:E162" si="17">E156+G156</f>
        <v>964</v>
      </c>
      <c r="F157" s="103">
        <f t="shared" si="16"/>
        <v>1173</v>
      </c>
      <c r="G157" s="103">
        <v>210</v>
      </c>
      <c r="H157" s="102" t="s">
        <v>115</v>
      </c>
      <c r="I157" s="148"/>
      <c r="J157" s="148"/>
    </row>
    <row r="158" spans="1:17" s="27" customFormat="1" x14ac:dyDescent="0.2">
      <c r="A158" s="103"/>
      <c r="B158" s="103"/>
      <c r="C158" s="103"/>
      <c r="D158" s="103"/>
      <c r="E158" s="103">
        <f t="shared" si="17"/>
        <v>1174</v>
      </c>
      <c r="F158" s="103">
        <f t="shared" si="16"/>
        <v>1178</v>
      </c>
      <c r="G158" s="103">
        <v>5</v>
      </c>
      <c r="H158" s="102" t="s">
        <v>271</v>
      </c>
      <c r="I158" s="148"/>
      <c r="J158" s="148"/>
    </row>
    <row r="159" spans="1:17" s="27" customFormat="1" ht="101.25" customHeight="1" x14ac:dyDescent="0.2">
      <c r="A159" s="103" t="s">
        <v>14</v>
      </c>
      <c r="B159" s="103" t="s">
        <v>14</v>
      </c>
      <c r="C159" s="103" t="s">
        <v>479</v>
      </c>
      <c r="D159" s="103" t="s">
        <v>174</v>
      </c>
      <c r="E159" s="103">
        <f t="shared" si="17"/>
        <v>1179</v>
      </c>
      <c r="F159" s="103">
        <f t="shared" si="16"/>
        <v>1343</v>
      </c>
      <c r="G159" s="103">
        <v>165</v>
      </c>
      <c r="H159" s="102" t="s">
        <v>116</v>
      </c>
      <c r="I159" s="148"/>
      <c r="J159" s="148"/>
    </row>
    <row r="160" spans="1:17" s="27" customFormat="1" x14ac:dyDescent="0.2">
      <c r="A160" s="103"/>
      <c r="B160" s="103"/>
      <c r="C160" s="103"/>
      <c r="D160" s="103"/>
      <c r="E160" s="103">
        <f t="shared" si="17"/>
        <v>1344</v>
      </c>
      <c r="F160" s="103">
        <f t="shared" si="16"/>
        <v>1348</v>
      </c>
      <c r="G160" s="103">
        <v>5</v>
      </c>
      <c r="H160" s="102" t="s">
        <v>271</v>
      </c>
      <c r="I160" s="148"/>
      <c r="J160" s="148"/>
    </row>
    <row r="161" spans="1:17" s="27" customFormat="1" ht="101.25" customHeight="1" x14ac:dyDescent="0.2">
      <c r="A161" s="103" t="s">
        <v>14</v>
      </c>
      <c r="B161" s="103" t="s">
        <v>14</v>
      </c>
      <c r="C161" s="103" t="s">
        <v>479</v>
      </c>
      <c r="D161" s="103" t="s">
        <v>174</v>
      </c>
      <c r="E161" s="103">
        <f t="shared" si="17"/>
        <v>1349</v>
      </c>
      <c r="F161" s="103">
        <f t="shared" si="16"/>
        <v>1498</v>
      </c>
      <c r="G161" s="103">
        <v>150</v>
      </c>
      <c r="H161" s="102" t="s">
        <v>117</v>
      </c>
      <c r="I161" s="148"/>
      <c r="J161" s="148"/>
    </row>
    <row r="162" spans="1:17" s="27" customFormat="1" x14ac:dyDescent="0.2">
      <c r="A162" s="103"/>
      <c r="B162" s="103"/>
      <c r="C162" s="103"/>
      <c r="D162" s="103"/>
      <c r="E162" s="103">
        <f t="shared" si="17"/>
        <v>1499</v>
      </c>
      <c r="F162" s="103">
        <f t="shared" si="16"/>
        <v>1503</v>
      </c>
      <c r="G162" s="103">
        <v>5</v>
      </c>
      <c r="H162" s="102" t="s">
        <v>271</v>
      </c>
      <c r="I162" s="101"/>
      <c r="J162" s="101"/>
    </row>
    <row r="163" spans="1:17" s="27" customFormat="1" x14ac:dyDescent="0.2">
      <c r="A163" s="103"/>
      <c r="B163" s="103"/>
      <c r="C163" s="103"/>
      <c r="D163" s="103"/>
      <c r="E163" s="103"/>
      <c r="F163" s="103"/>
      <c r="G163" s="103"/>
      <c r="H163" s="117" t="s">
        <v>338</v>
      </c>
      <c r="I163" s="50"/>
      <c r="J163" s="104"/>
    </row>
    <row r="164" spans="1:17" s="27" customFormat="1" ht="68.25" customHeight="1" x14ac:dyDescent="0.2">
      <c r="A164" s="103" t="s">
        <v>13</v>
      </c>
      <c r="B164" s="103" t="s">
        <v>13</v>
      </c>
      <c r="C164" s="103" t="s">
        <v>478</v>
      </c>
      <c r="D164" s="103" t="s">
        <v>174</v>
      </c>
      <c r="E164" s="103">
        <f>E162+G162</f>
        <v>1504</v>
      </c>
      <c r="F164" s="103">
        <f t="shared" ref="F164:F169" si="18">E164+G164-1</f>
        <v>1508</v>
      </c>
      <c r="G164" s="103">
        <v>5</v>
      </c>
      <c r="H164" s="102" t="s">
        <v>426</v>
      </c>
      <c r="I164" s="101" t="s">
        <v>163</v>
      </c>
      <c r="J164" s="101" t="s">
        <v>689</v>
      </c>
      <c r="Q164" s="34"/>
    </row>
    <row r="165" spans="1:17" s="27" customFormat="1" ht="63.75" x14ac:dyDescent="0.2">
      <c r="A165" s="103" t="s">
        <v>13</v>
      </c>
      <c r="B165" s="103" t="s">
        <v>13</v>
      </c>
      <c r="C165" s="103" t="s">
        <v>469</v>
      </c>
      <c r="D165" s="103" t="s">
        <v>174</v>
      </c>
      <c r="E165" s="103">
        <f>E164+G164</f>
        <v>1509</v>
      </c>
      <c r="F165" s="103">
        <f t="shared" si="18"/>
        <v>1511</v>
      </c>
      <c r="G165" s="103">
        <v>3</v>
      </c>
      <c r="H165" s="102" t="s">
        <v>427</v>
      </c>
      <c r="I165" s="101" t="s">
        <v>165</v>
      </c>
      <c r="J165" s="101" t="s">
        <v>609</v>
      </c>
      <c r="Q165" s="34"/>
    </row>
    <row r="166" spans="1:17" s="27" customFormat="1" ht="63.75" x14ac:dyDescent="0.2">
      <c r="A166" s="103" t="s">
        <v>14</v>
      </c>
      <c r="B166" s="103" t="s">
        <v>14</v>
      </c>
      <c r="C166" s="103" t="s">
        <v>469</v>
      </c>
      <c r="D166" s="103" t="s">
        <v>174</v>
      </c>
      <c r="E166" s="103">
        <f>E165+G165</f>
        <v>1512</v>
      </c>
      <c r="F166" s="103">
        <f t="shared" si="18"/>
        <v>1514</v>
      </c>
      <c r="G166" s="103">
        <v>3</v>
      </c>
      <c r="H166" s="102" t="s">
        <v>118</v>
      </c>
      <c r="I166" s="101" t="s">
        <v>599</v>
      </c>
      <c r="J166" s="109" t="s">
        <v>687</v>
      </c>
    </row>
    <row r="167" spans="1:17" s="27" customFormat="1" ht="26.25" customHeight="1" x14ac:dyDescent="0.2">
      <c r="A167" s="103" t="s">
        <v>14</v>
      </c>
      <c r="B167" s="103" t="s">
        <v>14</v>
      </c>
      <c r="C167" s="103" t="s">
        <v>469</v>
      </c>
      <c r="D167" s="103" t="s">
        <v>174</v>
      </c>
      <c r="E167" s="103">
        <f>E166+G166</f>
        <v>1515</v>
      </c>
      <c r="F167" s="103">
        <f t="shared" si="18"/>
        <v>1517</v>
      </c>
      <c r="G167" s="103">
        <v>3</v>
      </c>
      <c r="H167" s="102" t="s">
        <v>508</v>
      </c>
      <c r="I167" s="148" t="s">
        <v>165</v>
      </c>
      <c r="J167" s="156" t="s">
        <v>688</v>
      </c>
    </row>
    <row r="168" spans="1:17" s="27" customFormat="1" ht="27" customHeight="1" x14ac:dyDescent="0.2">
      <c r="A168" s="103" t="s">
        <v>14</v>
      </c>
      <c r="B168" s="103" t="s">
        <v>14</v>
      </c>
      <c r="C168" s="103" t="s">
        <v>469</v>
      </c>
      <c r="D168" s="103" t="s">
        <v>174</v>
      </c>
      <c r="E168" s="103">
        <f>E167+G167</f>
        <v>1518</v>
      </c>
      <c r="F168" s="103">
        <f t="shared" si="18"/>
        <v>1520</v>
      </c>
      <c r="G168" s="103">
        <v>3</v>
      </c>
      <c r="H168" s="102" t="s">
        <v>509</v>
      </c>
      <c r="I168" s="148"/>
      <c r="J168" s="157"/>
    </row>
    <row r="169" spans="1:17" s="27" customFormat="1" ht="114.75" x14ac:dyDescent="0.2">
      <c r="A169" s="103" t="s">
        <v>13</v>
      </c>
      <c r="B169" s="103" t="s">
        <v>13</v>
      </c>
      <c r="C169" s="103" t="s">
        <v>469</v>
      </c>
      <c r="D169" s="103" t="s">
        <v>174</v>
      </c>
      <c r="E169" s="103">
        <f>E168+G168</f>
        <v>1521</v>
      </c>
      <c r="F169" s="103">
        <f t="shared" si="18"/>
        <v>1523</v>
      </c>
      <c r="G169" s="103">
        <v>3</v>
      </c>
      <c r="H169" s="102" t="s">
        <v>428</v>
      </c>
      <c r="I169" s="101" t="s">
        <v>309</v>
      </c>
      <c r="J169" s="101" t="s">
        <v>610</v>
      </c>
      <c r="Q169" s="34"/>
    </row>
    <row r="170" spans="1:17" s="27" customFormat="1" x14ac:dyDescent="0.2">
      <c r="A170" s="103"/>
      <c r="B170" s="103"/>
      <c r="C170" s="103"/>
      <c r="D170" s="103"/>
      <c r="E170" s="103"/>
      <c r="F170" s="103"/>
      <c r="G170" s="103"/>
      <c r="H170" s="118" t="s">
        <v>119</v>
      </c>
      <c r="I170" s="50" t="s">
        <v>18</v>
      </c>
      <c r="J170" s="104"/>
    </row>
    <row r="171" spans="1:17" s="27" customFormat="1" x14ac:dyDescent="0.2">
      <c r="A171" s="103" t="s">
        <v>13</v>
      </c>
      <c r="B171" s="103" t="s">
        <v>13</v>
      </c>
      <c r="C171" s="103" t="s">
        <v>478</v>
      </c>
      <c r="D171" s="103" t="s">
        <v>174</v>
      </c>
      <c r="E171" s="103">
        <f>E169+G169</f>
        <v>1524</v>
      </c>
      <c r="F171" s="103">
        <f>E171+G171-1</f>
        <v>1527</v>
      </c>
      <c r="G171" s="103">
        <v>4</v>
      </c>
      <c r="H171" s="105" t="s">
        <v>694</v>
      </c>
      <c r="I171" s="148" t="s">
        <v>160</v>
      </c>
      <c r="J171" s="148" t="s">
        <v>587</v>
      </c>
    </row>
    <row r="172" spans="1:17" s="27" customFormat="1" x14ac:dyDescent="0.2">
      <c r="A172" s="103" t="s">
        <v>13</v>
      </c>
      <c r="B172" s="103" t="s">
        <v>13</v>
      </c>
      <c r="C172" s="103" t="s">
        <v>478</v>
      </c>
      <c r="D172" s="103" t="s">
        <v>174</v>
      </c>
      <c r="E172" s="103">
        <f>E171+G171</f>
        <v>1528</v>
      </c>
      <c r="F172" s="103">
        <f t="shared" ref="F172:F178" si="19">E172+G172-1</f>
        <v>1531</v>
      </c>
      <c r="G172" s="103">
        <v>4</v>
      </c>
      <c r="H172" s="105" t="s">
        <v>695</v>
      </c>
      <c r="I172" s="148"/>
      <c r="J172" s="148"/>
    </row>
    <row r="173" spans="1:17" s="27" customFormat="1" x14ac:dyDescent="0.2">
      <c r="A173" s="103" t="s">
        <v>13</v>
      </c>
      <c r="B173" s="103" t="s">
        <v>13</v>
      </c>
      <c r="C173" s="103" t="s">
        <v>478</v>
      </c>
      <c r="D173" s="103" t="s">
        <v>174</v>
      </c>
      <c r="E173" s="103">
        <f t="shared" ref="E173:E178" si="20">E172+G172</f>
        <v>1532</v>
      </c>
      <c r="F173" s="103">
        <f t="shared" si="19"/>
        <v>1535</v>
      </c>
      <c r="G173" s="103">
        <v>4</v>
      </c>
      <c r="H173" s="105" t="s">
        <v>696</v>
      </c>
      <c r="I173" s="148"/>
      <c r="J173" s="148"/>
    </row>
    <row r="174" spans="1:17" s="27" customFormat="1" x14ac:dyDescent="0.2">
      <c r="A174" s="103" t="s">
        <v>13</v>
      </c>
      <c r="B174" s="103" t="s">
        <v>13</v>
      </c>
      <c r="C174" s="103" t="s">
        <v>478</v>
      </c>
      <c r="D174" s="103" t="s">
        <v>174</v>
      </c>
      <c r="E174" s="103">
        <f t="shared" si="20"/>
        <v>1536</v>
      </c>
      <c r="F174" s="103">
        <f t="shared" si="19"/>
        <v>1539</v>
      </c>
      <c r="G174" s="103">
        <v>4</v>
      </c>
      <c r="H174" s="105" t="s">
        <v>697</v>
      </c>
      <c r="I174" s="148"/>
      <c r="J174" s="148"/>
    </row>
    <row r="175" spans="1:17" s="27" customFormat="1" x14ac:dyDescent="0.2">
      <c r="A175" s="103" t="s">
        <v>13</v>
      </c>
      <c r="B175" s="103" t="s">
        <v>13</v>
      </c>
      <c r="C175" s="103" t="s">
        <v>478</v>
      </c>
      <c r="D175" s="103" t="s">
        <v>174</v>
      </c>
      <c r="E175" s="103">
        <f t="shared" si="20"/>
        <v>1540</v>
      </c>
      <c r="F175" s="103">
        <f t="shared" si="19"/>
        <v>1543</v>
      </c>
      <c r="G175" s="103">
        <v>4</v>
      </c>
      <c r="H175" s="105" t="s">
        <v>698</v>
      </c>
      <c r="I175" s="148"/>
      <c r="J175" s="148"/>
    </row>
    <row r="176" spans="1:17" s="27" customFormat="1" x14ac:dyDescent="0.2">
      <c r="A176" s="103" t="s">
        <v>13</v>
      </c>
      <c r="B176" s="103" t="s">
        <v>13</v>
      </c>
      <c r="C176" s="103" t="s">
        <v>478</v>
      </c>
      <c r="D176" s="103" t="s">
        <v>174</v>
      </c>
      <c r="E176" s="103">
        <f t="shared" si="20"/>
        <v>1544</v>
      </c>
      <c r="F176" s="103">
        <f t="shared" si="19"/>
        <v>1547</v>
      </c>
      <c r="G176" s="103">
        <v>4</v>
      </c>
      <c r="H176" s="105" t="s">
        <v>699</v>
      </c>
      <c r="I176" s="148"/>
      <c r="J176" s="148"/>
    </row>
    <row r="177" spans="1:10" s="27" customFormat="1" x14ac:dyDescent="0.2">
      <c r="A177" s="103" t="s">
        <v>13</v>
      </c>
      <c r="B177" s="103" t="s">
        <v>13</v>
      </c>
      <c r="C177" s="103" t="s">
        <v>478</v>
      </c>
      <c r="D177" s="103" t="s">
        <v>174</v>
      </c>
      <c r="E177" s="103">
        <f t="shared" si="20"/>
        <v>1548</v>
      </c>
      <c r="F177" s="103">
        <f t="shared" si="19"/>
        <v>1551</v>
      </c>
      <c r="G177" s="103">
        <v>4</v>
      </c>
      <c r="H177" s="105" t="s">
        <v>700</v>
      </c>
      <c r="I177" s="148"/>
      <c r="J177" s="148"/>
    </row>
    <row r="178" spans="1:10" s="27" customFormat="1" x14ac:dyDescent="0.2">
      <c r="A178" s="103"/>
      <c r="B178" s="103"/>
      <c r="C178" s="103"/>
      <c r="D178" s="103"/>
      <c r="E178" s="103">
        <f t="shared" si="20"/>
        <v>1552</v>
      </c>
      <c r="F178" s="103">
        <f t="shared" si="19"/>
        <v>1559</v>
      </c>
      <c r="G178" s="103">
        <v>8</v>
      </c>
      <c r="H178" s="102" t="s">
        <v>271</v>
      </c>
      <c r="I178" s="101"/>
      <c r="J178" s="101"/>
    </row>
    <row r="179" spans="1:10" s="27" customFormat="1" x14ac:dyDescent="0.2">
      <c r="A179" s="103"/>
      <c r="B179" s="103"/>
      <c r="C179" s="103"/>
      <c r="D179" s="103"/>
      <c r="E179" s="103"/>
      <c r="F179" s="103"/>
      <c r="G179" s="103"/>
      <c r="H179" s="118" t="s">
        <v>120</v>
      </c>
      <c r="I179" s="101"/>
      <c r="J179" s="104"/>
    </row>
    <row r="180" spans="1:10" s="27" customFormat="1" x14ac:dyDescent="0.2">
      <c r="A180" s="103" t="s">
        <v>13</v>
      </c>
      <c r="B180" s="103" t="s">
        <v>13</v>
      </c>
      <c r="C180" s="103" t="s">
        <v>478</v>
      </c>
      <c r="D180" s="103" t="s">
        <v>174</v>
      </c>
      <c r="E180" s="103">
        <f>E178+G178</f>
        <v>1560</v>
      </c>
      <c r="F180" s="103">
        <f>E180+G180-1</f>
        <v>1563</v>
      </c>
      <c r="G180" s="103">
        <v>4</v>
      </c>
      <c r="H180" s="105" t="s">
        <v>690</v>
      </c>
      <c r="I180" s="148" t="s">
        <v>160</v>
      </c>
      <c r="J180" s="148" t="s">
        <v>588</v>
      </c>
    </row>
    <row r="181" spans="1:10" s="27" customFormat="1" x14ac:dyDescent="0.2">
      <c r="A181" s="103" t="s">
        <v>13</v>
      </c>
      <c r="B181" s="103" t="s">
        <v>13</v>
      </c>
      <c r="C181" s="103" t="s">
        <v>478</v>
      </c>
      <c r="D181" s="103" t="s">
        <v>174</v>
      </c>
      <c r="E181" s="103">
        <f>E180+G180</f>
        <v>1564</v>
      </c>
      <c r="F181" s="103">
        <f>E181+G181-1</f>
        <v>1567</v>
      </c>
      <c r="G181" s="103">
        <v>4</v>
      </c>
      <c r="H181" s="105" t="s">
        <v>691</v>
      </c>
      <c r="I181" s="148"/>
      <c r="J181" s="148"/>
    </row>
    <row r="182" spans="1:10" s="27" customFormat="1" x14ac:dyDescent="0.2">
      <c r="A182" s="103" t="s">
        <v>13</v>
      </c>
      <c r="B182" s="103" t="s">
        <v>13</v>
      </c>
      <c r="C182" s="103" t="s">
        <v>478</v>
      </c>
      <c r="D182" s="103" t="s">
        <v>174</v>
      </c>
      <c r="E182" s="103">
        <f>E181+G181</f>
        <v>1568</v>
      </c>
      <c r="F182" s="103">
        <f>E182+G182-1</f>
        <v>1571</v>
      </c>
      <c r="G182" s="103">
        <v>4</v>
      </c>
      <c r="H182" s="105" t="s">
        <v>692</v>
      </c>
      <c r="I182" s="148"/>
      <c r="J182" s="148"/>
    </row>
    <row r="183" spans="1:10" s="27" customFormat="1" x14ac:dyDescent="0.2">
      <c r="A183" s="103" t="s">
        <v>13</v>
      </c>
      <c r="B183" s="103" t="s">
        <v>13</v>
      </c>
      <c r="C183" s="103" t="s">
        <v>478</v>
      </c>
      <c r="D183" s="103" t="s">
        <v>174</v>
      </c>
      <c r="E183" s="103">
        <f>E182+G182</f>
        <v>1572</v>
      </c>
      <c r="F183" s="103">
        <f>E183+G183-1</f>
        <v>1575</v>
      </c>
      <c r="G183" s="103">
        <v>4</v>
      </c>
      <c r="H183" s="105" t="s">
        <v>693</v>
      </c>
      <c r="I183" s="148"/>
      <c r="J183" s="148"/>
    </row>
    <row r="184" spans="1:10" s="27" customFormat="1" x14ac:dyDescent="0.2">
      <c r="A184" s="103"/>
      <c r="B184" s="103"/>
      <c r="C184" s="103"/>
      <c r="D184" s="103"/>
      <c r="E184" s="103">
        <f>E183+G183</f>
        <v>1576</v>
      </c>
      <c r="F184" s="103">
        <f>E184+G184-1</f>
        <v>1583</v>
      </c>
      <c r="G184" s="103">
        <v>8</v>
      </c>
      <c r="H184" s="102" t="s">
        <v>271</v>
      </c>
      <c r="I184" s="148"/>
      <c r="J184" s="148"/>
    </row>
    <row r="185" spans="1:10" s="27" customFormat="1" x14ac:dyDescent="0.2">
      <c r="A185" s="103"/>
      <c r="B185" s="103"/>
      <c r="C185" s="103"/>
      <c r="D185" s="103"/>
      <c r="E185" s="103"/>
      <c r="F185" s="103"/>
      <c r="G185" s="103"/>
      <c r="H185" s="118" t="s">
        <v>121</v>
      </c>
      <c r="I185" s="101"/>
      <c r="J185" s="104"/>
    </row>
    <row r="186" spans="1:10" s="27" customFormat="1" x14ac:dyDescent="0.2">
      <c r="A186" s="103" t="s">
        <v>13</v>
      </c>
      <c r="B186" s="103" t="s">
        <v>13</v>
      </c>
      <c r="C186" s="103" t="s">
        <v>478</v>
      </c>
      <c r="D186" s="103" t="s">
        <v>174</v>
      </c>
      <c r="E186" s="103">
        <f>E184+G184</f>
        <v>1584</v>
      </c>
      <c r="F186" s="103">
        <f t="shared" ref="F186:F191" si="21">E186+G186-1</f>
        <v>1587</v>
      </c>
      <c r="G186" s="103">
        <v>4</v>
      </c>
      <c r="H186" s="105" t="s">
        <v>701</v>
      </c>
      <c r="I186" s="148" t="s">
        <v>159</v>
      </c>
      <c r="J186" s="148" t="s">
        <v>589</v>
      </c>
    </row>
    <row r="187" spans="1:10" s="27" customFormat="1" x14ac:dyDescent="0.2">
      <c r="A187" s="103" t="s">
        <v>13</v>
      </c>
      <c r="B187" s="103" t="s">
        <v>13</v>
      </c>
      <c r="C187" s="103" t="s">
        <v>478</v>
      </c>
      <c r="D187" s="103" t="s">
        <v>174</v>
      </c>
      <c r="E187" s="103">
        <f>E186+G186</f>
        <v>1588</v>
      </c>
      <c r="F187" s="103">
        <f t="shared" si="21"/>
        <v>1591</v>
      </c>
      <c r="G187" s="103">
        <v>4</v>
      </c>
      <c r="H187" s="72" t="s">
        <v>702</v>
      </c>
      <c r="I187" s="148"/>
      <c r="J187" s="148"/>
    </row>
    <row r="188" spans="1:10" s="27" customFormat="1" x14ac:dyDescent="0.2">
      <c r="A188" s="103"/>
      <c r="B188" s="103"/>
      <c r="C188" s="103"/>
      <c r="D188" s="103"/>
      <c r="E188" s="103">
        <f>E187+G187</f>
        <v>1592</v>
      </c>
      <c r="F188" s="103">
        <f t="shared" si="21"/>
        <v>1612</v>
      </c>
      <c r="G188" s="103">
        <v>21</v>
      </c>
      <c r="H188" s="102" t="s">
        <v>271</v>
      </c>
      <c r="I188" s="101"/>
      <c r="J188" s="101"/>
    </row>
    <row r="189" spans="1:10" s="27" customFormat="1" ht="63.75" x14ac:dyDescent="0.2">
      <c r="A189" s="103" t="s">
        <v>13</v>
      </c>
      <c r="B189" s="103" t="s">
        <v>13</v>
      </c>
      <c r="C189" s="103" t="s">
        <v>478</v>
      </c>
      <c r="D189" s="103" t="s">
        <v>174</v>
      </c>
      <c r="E189" s="103">
        <f>E188+G188</f>
        <v>1613</v>
      </c>
      <c r="F189" s="103">
        <f t="shared" si="21"/>
        <v>1617</v>
      </c>
      <c r="G189" s="103">
        <v>5</v>
      </c>
      <c r="H189" s="102" t="s">
        <v>122</v>
      </c>
      <c r="I189" s="101" t="s">
        <v>161</v>
      </c>
      <c r="J189" s="101" t="s">
        <v>677</v>
      </c>
    </row>
    <row r="190" spans="1:10" s="27" customFormat="1" ht="89.25" x14ac:dyDescent="0.2">
      <c r="A190" s="103" t="s">
        <v>13</v>
      </c>
      <c r="B190" s="103" t="s">
        <v>13</v>
      </c>
      <c r="C190" s="103" t="s">
        <v>151</v>
      </c>
      <c r="D190" s="103" t="s">
        <v>174</v>
      </c>
      <c r="E190" s="103">
        <f>E189+G189</f>
        <v>1618</v>
      </c>
      <c r="F190" s="103">
        <f t="shared" si="21"/>
        <v>1618</v>
      </c>
      <c r="G190" s="103">
        <v>1</v>
      </c>
      <c r="H190" s="102" t="s">
        <v>552</v>
      </c>
      <c r="I190" s="48" t="s">
        <v>310</v>
      </c>
      <c r="J190" s="101" t="s">
        <v>742</v>
      </c>
    </row>
    <row r="191" spans="1:10" s="27" customFormat="1" x14ac:dyDescent="0.2">
      <c r="A191" s="103"/>
      <c r="B191" s="103"/>
      <c r="C191" s="103"/>
      <c r="D191" s="103"/>
      <c r="E191" s="103">
        <f>E190+G190</f>
        <v>1619</v>
      </c>
      <c r="F191" s="103">
        <f t="shared" si="21"/>
        <v>1644</v>
      </c>
      <c r="G191" s="103">
        <v>26</v>
      </c>
      <c r="H191" s="102" t="s">
        <v>271</v>
      </c>
      <c r="I191" s="101"/>
      <c r="J191" s="101"/>
    </row>
    <row r="192" spans="1:10" s="27" customFormat="1" x14ac:dyDescent="0.2">
      <c r="A192" s="103"/>
      <c r="B192" s="103"/>
      <c r="C192" s="103"/>
      <c r="D192" s="103"/>
      <c r="E192" s="103"/>
      <c r="F192" s="103"/>
      <c r="G192" s="103"/>
      <c r="H192" s="118" t="s">
        <v>123</v>
      </c>
      <c r="I192" s="101"/>
      <c r="J192" s="104"/>
    </row>
    <row r="193" spans="1:10" s="27" customFormat="1" ht="38.25" x14ac:dyDescent="0.2">
      <c r="A193" s="103" t="s">
        <v>13</v>
      </c>
      <c r="B193" s="103" t="s">
        <v>13</v>
      </c>
      <c r="C193" s="103" t="s">
        <v>479</v>
      </c>
      <c r="D193" s="103" t="s">
        <v>174</v>
      </c>
      <c r="E193" s="103">
        <f>E191+G191</f>
        <v>1645</v>
      </c>
      <c r="F193" s="103">
        <f>E193+G193-1</f>
        <v>1647</v>
      </c>
      <c r="G193" s="103">
        <v>3</v>
      </c>
      <c r="H193" s="102" t="s">
        <v>124</v>
      </c>
      <c r="I193" s="101" t="s">
        <v>387</v>
      </c>
      <c r="J193" s="101" t="s">
        <v>580</v>
      </c>
    </row>
    <row r="194" spans="1:10" s="27" customFormat="1" ht="38.25" x14ac:dyDescent="0.2">
      <c r="A194" s="103" t="s">
        <v>13</v>
      </c>
      <c r="B194" s="103" t="s">
        <v>13</v>
      </c>
      <c r="C194" s="103" t="s">
        <v>478</v>
      </c>
      <c r="D194" s="103" t="s">
        <v>174</v>
      </c>
      <c r="E194" s="103">
        <f>E193+G193</f>
        <v>1648</v>
      </c>
      <c r="F194" s="103">
        <f>E194+G194-1</f>
        <v>1651</v>
      </c>
      <c r="G194" s="103">
        <v>4</v>
      </c>
      <c r="H194" s="102" t="s">
        <v>125</v>
      </c>
      <c r="I194" s="101" t="s">
        <v>162</v>
      </c>
      <c r="J194" s="106" t="s">
        <v>703</v>
      </c>
    </row>
    <row r="195" spans="1:10" s="27" customFormat="1" x14ac:dyDescent="0.2">
      <c r="A195" s="103"/>
      <c r="B195" s="103"/>
      <c r="C195" s="103"/>
      <c r="D195" s="103"/>
      <c r="E195" s="103">
        <f>E194+G194</f>
        <v>1652</v>
      </c>
      <c r="F195" s="103">
        <f>E195+G195-1</f>
        <v>1707</v>
      </c>
      <c r="G195" s="103">
        <v>56</v>
      </c>
      <c r="H195" s="102" t="s">
        <v>271</v>
      </c>
      <c r="I195" s="101"/>
      <c r="J195" s="101"/>
    </row>
    <row r="196" spans="1:10" s="27" customFormat="1" x14ac:dyDescent="0.2">
      <c r="A196" s="103"/>
      <c r="B196" s="103"/>
      <c r="C196" s="103"/>
      <c r="D196" s="103"/>
      <c r="E196" s="103"/>
      <c r="F196" s="103"/>
      <c r="G196" s="103"/>
      <c r="H196" s="118" t="s">
        <v>10</v>
      </c>
      <c r="I196" s="50"/>
      <c r="J196" s="104"/>
    </row>
    <row r="197" spans="1:10" s="27" customFormat="1" ht="56.25" customHeight="1" x14ac:dyDescent="0.2">
      <c r="A197" s="103" t="s">
        <v>13</v>
      </c>
      <c r="B197" s="103" t="s">
        <v>13</v>
      </c>
      <c r="C197" s="103" t="s">
        <v>478</v>
      </c>
      <c r="D197" s="103" t="s">
        <v>174</v>
      </c>
      <c r="E197" s="103">
        <f>E195+G195</f>
        <v>1708</v>
      </c>
      <c r="F197" s="103">
        <f t="shared" ref="F197:F202" si="22">E197+G197-1</f>
        <v>1712</v>
      </c>
      <c r="G197" s="103">
        <v>5</v>
      </c>
      <c r="H197" s="102" t="s">
        <v>429</v>
      </c>
      <c r="I197" s="101" t="s">
        <v>164</v>
      </c>
      <c r="J197" s="101" t="s">
        <v>675</v>
      </c>
    </row>
    <row r="198" spans="1:10" s="27" customFormat="1" ht="57" customHeight="1" x14ac:dyDescent="0.2">
      <c r="A198" s="103" t="s">
        <v>13</v>
      </c>
      <c r="B198" s="103" t="s">
        <v>13</v>
      </c>
      <c r="C198" s="103" t="s">
        <v>469</v>
      </c>
      <c r="D198" s="103" t="s">
        <v>174</v>
      </c>
      <c r="E198" s="103">
        <f>E197+G197</f>
        <v>1713</v>
      </c>
      <c r="F198" s="103">
        <f t="shared" si="22"/>
        <v>1715</v>
      </c>
      <c r="G198" s="103">
        <v>3</v>
      </c>
      <c r="H198" s="102" t="s">
        <v>430</v>
      </c>
      <c r="I198" s="101" t="s">
        <v>165</v>
      </c>
      <c r="J198" s="101" t="s">
        <v>611</v>
      </c>
    </row>
    <row r="199" spans="1:10" s="27" customFormat="1" ht="63.75" x14ac:dyDescent="0.2">
      <c r="A199" s="103" t="s">
        <v>14</v>
      </c>
      <c r="B199" s="103" t="s">
        <v>14</v>
      </c>
      <c r="C199" s="103" t="s">
        <v>469</v>
      </c>
      <c r="D199" s="103" t="s">
        <v>174</v>
      </c>
      <c r="E199" s="103">
        <f>E198+G198</f>
        <v>1716</v>
      </c>
      <c r="F199" s="103">
        <f t="shared" si="22"/>
        <v>1718</v>
      </c>
      <c r="G199" s="103">
        <v>3</v>
      </c>
      <c r="H199" s="102" t="s">
        <v>126</v>
      </c>
      <c r="I199" s="101" t="s">
        <v>599</v>
      </c>
      <c r="J199" s="109" t="s">
        <v>704</v>
      </c>
    </row>
    <row r="200" spans="1:10" s="27" customFormat="1" ht="26.25" customHeight="1" x14ac:dyDescent="0.2">
      <c r="A200" s="103" t="s">
        <v>14</v>
      </c>
      <c r="B200" s="103" t="s">
        <v>14</v>
      </c>
      <c r="C200" s="103" t="s">
        <v>469</v>
      </c>
      <c r="D200" s="103" t="s">
        <v>174</v>
      </c>
      <c r="E200" s="103">
        <f>E199+G199</f>
        <v>1719</v>
      </c>
      <c r="F200" s="103">
        <f t="shared" si="22"/>
        <v>1721</v>
      </c>
      <c r="G200" s="103">
        <v>3</v>
      </c>
      <c r="H200" s="102" t="s">
        <v>510</v>
      </c>
      <c r="I200" s="148" t="s">
        <v>165</v>
      </c>
      <c r="J200" s="156" t="s">
        <v>705</v>
      </c>
    </row>
    <row r="201" spans="1:10" s="27" customFormat="1" ht="27" customHeight="1" x14ac:dyDescent="0.2">
      <c r="A201" s="103" t="s">
        <v>14</v>
      </c>
      <c r="B201" s="103" t="s">
        <v>14</v>
      </c>
      <c r="C201" s="103" t="s">
        <v>469</v>
      </c>
      <c r="D201" s="103" t="s">
        <v>174</v>
      </c>
      <c r="E201" s="103">
        <f>E200+G200</f>
        <v>1722</v>
      </c>
      <c r="F201" s="103">
        <f t="shared" si="22"/>
        <v>1724</v>
      </c>
      <c r="G201" s="103">
        <v>3</v>
      </c>
      <c r="H201" s="102" t="s">
        <v>511</v>
      </c>
      <c r="I201" s="148"/>
      <c r="J201" s="157"/>
    </row>
    <row r="202" spans="1:10" s="27" customFormat="1" ht="114.75" x14ac:dyDescent="0.2">
      <c r="A202" s="103" t="s">
        <v>13</v>
      </c>
      <c r="B202" s="103" t="s">
        <v>13</v>
      </c>
      <c r="C202" s="103" t="s">
        <v>469</v>
      </c>
      <c r="D202" s="103" t="s">
        <v>174</v>
      </c>
      <c r="E202" s="103">
        <f>E201+G201</f>
        <v>1725</v>
      </c>
      <c r="F202" s="103">
        <f t="shared" si="22"/>
        <v>1727</v>
      </c>
      <c r="G202" s="103">
        <v>3</v>
      </c>
      <c r="H202" s="102" t="s">
        <v>431</v>
      </c>
      <c r="I202" s="101" t="s">
        <v>337</v>
      </c>
      <c r="J202" s="101" t="s">
        <v>612</v>
      </c>
    </row>
    <row r="203" spans="1:10" s="27" customFormat="1" x14ac:dyDescent="0.2">
      <c r="A203" s="103"/>
      <c r="B203" s="103"/>
      <c r="C203" s="103"/>
      <c r="D203" s="103"/>
      <c r="E203" s="103"/>
      <c r="F203" s="103"/>
      <c r="G203" s="103"/>
      <c r="H203" s="118" t="s">
        <v>119</v>
      </c>
      <c r="I203" s="101"/>
      <c r="J203" s="101"/>
    </row>
    <row r="204" spans="1:10" s="27" customFormat="1" x14ac:dyDescent="0.2">
      <c r="A204" s="103" t="s">
        <v>13</v>
      </c>
      <c r="B204" s="103" t="s">
        <v>13</v>
      </c>
      <c r="C204" s="103" t="s">
        <v>478</v>
      </c>
      <c r="D204" s="103" t="s">
        <v>174</v>
      </c>
      <c r="E204" s="103">
        <f>E202+G202</f>
        <v>1728</v>
      </c>
      <c r="F204" s="103">
        <f>E204+G204-1</f>
        <v>1731</v>
      </c>
      <c r="G204" s="103">
        <v>4</v>
      </c>
      <c r="H204" s="105" t="s">
        <v>706</v>
      </c>
      <c r="I204" s="148" t="s">
        <v>162</v>
      </c>
      <c r="J204" s="148" t="s">
        <v>482</v>
      </c>
    </row>
    <row r="205" spans="1:10" s="27" customFormat="1" x14ac:dyDescent="0.2">
      <c r="A205" s="103" t="s">
        <v>13</v>
      </c>
      <c r="B205" s="103" t="s">
        <v>13</v>
      </c>
      <c r="C205" s="103" t="s">
        <v>478</v>
      </c>
      <c r="D205" s="103" t="s">
        <v>174</v>
      </c>
      <c r="E205" s="103">
        <f t="shared" ref="E205:E210" si="23">E204+G204</f>
        <v>1732</v>
      </c>
      <c r="F205" s="103">
        <f t="shared" ref="F205:F210" si="24">E205+G205-1</f>
        <v>1735</v>
      </c>
      <c r="G205" s="103">
        <v>4</v>
      </c>
      <c r="H205" s="105" t="s">
        <v>707</v>
      </c>
      <c r="I205" s="148"/>
      <c r="J205" s="148"/>
    </row>
    <row r="206" spans="1:10" s="27" customFormat="1" x14ac:dyDescent="0.2">
      <c r="A206" s="103" t="s">
        <v>13</v>
      </c>
      <c r="B206" s="103" t="s">
        <v>13</v>
      </c>
      <c r="C206" s="103" t="s">
        <v>478</v>
      </c>
      <c r="D206" s="103" t="s">
        <v>174</v>
      </c>
      <c r="E206" s="103">
        <f t="shared" si="23"/>
        <v>1736</v>
      </c>
      <c r="F206" s="103">
        <f t="shared" si="24"/>
        <v>1739</v>
      </c>
      <c r="G206" s="103">
        <v>4</v>
      </c>
      <c r="H206" s="105" t="s">
        <v>708</v>
      </c>
      <c r="I206" s="148"/>
      <c r="J206" s="148"/>
    </row>
    <row r="207" spans="1:10" s="27" customFormat="1" x14ac:dyDescent="0.2">
      <c r="A207" s="103" t="s">
        <v>13</v>
      </c>
      <c r="B207" s="103" t="s">
        <v>13</v>
      </c>
      <c r="C207" s="103" t="s">
        <v>478</v>
      </c>
      <c r="D207" s="103" t="s">
        <v>174</v>
      </c>
      <c r="E207" s="103">
        <f t="shared" si="23"/>
        <v>1740</v>
      </c>
      <c r="F207" s="103">
        <f t="shared" si="24"/>
        <v>1743</v>
      </c>
      <c r="G207" s="103">
        <v>4</v>
      </c>
      <c r="H207" s="72" t="s">
        <v>709</v>
      </c>
      <c r="I207" s="148"/>
      <c r="J207" s="148"/>
    </row>
    <row r="208" spans="1:10" s="27" customFormat="1" x14ac:dyDescent="0.2">
      <c r="A208" s="103" t="s">
        <v>13</v>
      </c>
      <c r="B208" s="103" t="s">
        <v>13</v>
      </c>
      <c r="C208" s="103" t="s">
        <v>478</v>
      </c>
      <c r="D208" s="103" t="s">
        <v>174</v>
      </c>
      <c r="E208" s="103">
        <f t="shared" si="23"/>
        <v>1744</v>
      </c>
      <c r="F208" s="103">
        <f t="shared" si="24"/>
        <v>1747</v>
      </c>
      <c r="G208" s="103">
        <v>4</v>
      </c>
      <c r="H208" s="105" t="s">
        <v>710</v>
      </c>
      <c r="I208" s="148"/>
      <c r="J208" s="148"/>
    </row>
    <row r="209" spans="1:10" s="27" customFormat="1" x14ac:dyDescent="0.2">
      <c r="A209" s="103" t="s">
        <v>13</v>
      </c>
      <c r="B209" s="103" t="s">
        <v>13</v>
      </c>
      <c r="C209" s="103" t="s">
        <v>478</v>
      </c>
      <c r="D209" s="103" t="s">
        <v>174</v>
      </c>
      <c r="E209" s="103">
        <f t="shared" si="23"/>
        <v>1748</v>
      </c>
      <c r="F209" s="103">
        <f t="shared" si="24"/>
        <v>1751</v>
      </c>
      <c r="G209" s="103">
        <v>4</v>
      </c>
      <c r="H209" s="105" t="s">
        <v>711</v>
      </c>
      <c r="I209" s="148"/>
      <c r="J209" s="148"/>
    </row>
    <row r="210" spans="1:10" s="27" customFormat="1" x14ac:dyDescent="0.2">
      <c r="A210" s="103"/>
      <c r="B210" s="103"/>
      <c r="C210" s="103"/>
      <c r="D210" s="103"/>
      <c r="E210" s="103">
        <f t="shared" si="23"/>
        <v>1752</v>
      </c>
      <c r="F210" s="103">
        <f t="shared" si="24"/>
        <v>1756</v>
      </c>
      <c r="G210" s="103">
        <v>5</v>
      </c>
      <c r="H210" s="102" t="s">
        <v>271</v>
      </c>
      <c r="I210" s="148"/>
      <c r="J210" s="148"/>
    </row>
    <row r="211" spans="1:10" s="27" customFormat="1" x14ac:dyDescent="0.2">
      <c r="A211" s="103"/>
      <c r="B211" s="103"/>
      <c r="C211" s="103"/>
      <c r="D211" s="103"/>
      <c r="E211" s="103"/>
      <c r="F211" s="103"/>
      <c r="G211" s="103"/>
      <c r="H211" s="118" t="s">
        <v>120</v>
      </c>
      <c r="I211" s="101"/>
      <c r="J211" s="104"/>
    </row>
    <row r="212" spans="1:10" s="27" customFormat="1" ht="27" customHeight="1" x14ac:dyDescent="0.2">
      <c r="A212" s="103" t="s">
        <v>13</v>
      </c>
      <c r="B212" s="103" t="s">
        <v>13</v>
      </c>
      <c r="C212" s="103" t="s">
        <v>479</v>
      </c>
      <c r="D212" s="103" t="s">
        <v>174</v>
      </c>
      <c r="E212" s="103">
        <f>E210+G210</f>
        <v>1757</v>
      </c>
      <c r="F212" s="103">
        <f>E212+G212-1</f>
        <v>1760</v>
      </c>
      <c r="G212" s="103">
        <v>4</v>
      </c>
      <c r="H212" s="105" t="s">
        <v>712</v>
      </c>
      <c r="I212" s="148" t="s">
        <v>162</v>
      </c>
      <c r="J212" s="148" t="s">
        <v>489</v>
      </c>
    </row>
    <row r="213" spans="1:10" s="27" customFormat="1" ht="27" customHeight="1" x14ac:dyDescent="0.2">
      <c r="A213" s="103" t="s">
        <v>13</v>
      </c>
      <c r="B213" s="103" t="s">
        <v>13</v>
      </c>
      <c r="C213" s="103" t="s">
        <v>478</v>
      </c>
      <c r="D213" s="103" t="s">
        <v>174</v>
      </c>
      <c r="E213" s="103">
        <f>E212+G212</f>
        <v>1761</v>
      </c>
      <c r="F213" s="103">
        <f>E213+G213-1</f>
        <v>1764</v>
      </c>
      <c r="G213" s="103">
        <v>4</v>
      </c>
      <c r="H213" s="105" t="s">
        <v>127</v>
      </c>
      <c r="I213" s="148"/>
      <c r="J213" s="148"/>
    </row>
    <row r="214" spans="1:10" s="27" customFormat="1" x14ac:dyDescent="0.2">
      <c r="A214" s="103"/>
      <c r="B214" s="103"/>
      <c r="C214" s="103"/>
      <c r="D214" s="103"/>
      <c r="E214" s="103">
        <f>E213+G213</f>
        <v>1765</v>
      </c>
      <c r="F214" s="103">
        <f>E214+G214-1</f>
        <v>1775</v>
      </c>
      <c r="G214" s="103">
        <v>11</v>
      </c>
      <c r="H214" s="102" t="s">
        <v>271</v>
      </c>
      <c r="I214" s="101"/>
      <c r="J214" s="101"/>
    </row>
    <row r="215" spans="1:10" s="27" customFormat="1" x14ac:dyDescent="0.2">
      <c r="A215" s="103"/>
      <c r="B215" s="103"/>
      <c r="C215" s="103"/>
      <c r="D215" s="103"/>
      <c r="E215" s="103"/>
      <c r="F215" s="103"/>
      <c r="G215" s="103"/>
      <c r="H215" s="117" t="s">
        <v>11</v>
      </c>
      <c r="I215" s="50"/>
      <c r="J215" s="104"/>
    </row>
    <row r="216" spans="1:10" s="27" customFormat="1" ht="58.5" customHeight="1" x14ac:dyDescent="0.2">
      <c r="A216" s="103" t="s">
        <v>13</v>
      </c>
      <c r="B216" s="103" t="s">
        <v>13</v>
      </c>
      <c r="C216" s="103" t="s">
        <v>478</v>
      </c>
      <c r="D216" s="103" t="s">
        <v>174</v>
      </c>
      <c r="E216" s="103">
        <f>E214+G214</f>
        <v>1776</v>
      </c>
      <c r="F216" s="103">
        <f t="shared" ref="F216:F221" si="25">E216+G216-1</f>
        <v>1780</v>
      </c>
      <c r="G216" s="103">
        <v>5</v>
      </c>
      <c r="H216" s="102" t="s">
        <v>432</v>
      </c>
      <c r="I216" s="101" t="s">
        <v>164</v>
      </c>
      <c r="J216" s="101" t="s">
        <v>646</v>
      </c>
    </row>
    <row r="217" spans="1:10" s="27" customFormat="1" ht="63.75" x14ac:dyDescent="0.2">
      <c r="A217" s="103" t="s">
        <v>13</v>
      </c>
      <c r="B217" s="103" t="s">
        <v>13</v>
      </c>
      <c r="C217" s="103" t="s">
        <v>469</v>
      </c>
      <c r="D217" s="103" t="s">
        <v>174</v>
      </c>
      <c r="E217" s="103">
        <f>E216+G216</f>
        <v>1781</v>
      </c>
      <c r="F217" s="103">
        <f t="shared" si="25"/>
        <v>1783</v>
      </c>
      <c r="G217" s="103">
        <v>3</v>
      </c>
      <c r="H217" s="102" t="s">
        <v>433</v>
      </c>
      <c r="I217" s="101" t="s">
        <v>165</v>
      </c>
      <c r="J217" s="101" t="s">
        <v>621</v>
      </c>
    </row>
    <row r="218" spans="1:10" s="27" customFormat="1" ht="63.75" x14ac:dyDescent="0.2">
      <c r="A218" s="103" t="s">
        <v>14</v>
      </c>
      <c r="B218" s="103" t="s">
        <v>14</v>
      </c>
      <c r="C218" s="103" t="s">
        <v>469</v>
      </c>
      <c r="D218" s="103" t="s">
        <v>174</v>
      </c>
      <c r="E218" s="103">
        <f>E217+G217</f>
        <v>1784</v>
      </c>
      <c r="F218" s="103">
        <f t="shared" si="25"/>
        <v>1786</v>
      </c>
      <c r="G218" s="103">
        <v>3</v>
      </c>
      <c r="H218" s="102" t="s">
        <v>128</v>
      </c>
      <c r="I218" s="101" t="s">
        <v>599</v>
      </c>
      <c r="J218" s="109" t="s">
        <v>713</v>
      </c>
    </row>
    <row r="219" spans="1:10" s="27" customFormat="1" ht="27" customHeight="1" x14ac:dyDescent="0.2">
      <c r="A219" s="103" t="s">
        <v>14</v>
      </c>
      <c r="B219" s="103" t="s">
        <v>14</v>
      </c>
      <c r="C219" s="103" t="s">
        <v>469</v>
      </c>
      <c r="D219" s="103" t="s">
        <v>174</v>
      </c>
      <c r="E219" s="103">
        <f>E218+G218</f>
        <v>1787</v>
      </c>
      <c r="F219" s="103">
        <f t="shared" si="25"/>
        <v>1789</v>
      </c>
      <c r="G219" s="103">
        <v>3</v>
      </c>
      <c r="H219" s="102" t="s">
        <v>512</v>
      </c>
      <c r="I219" s="148" t="s">
        <v>165</v>
      </c>
      <c r="J219" s="156" t="s">
        <v>714</v>
      </c>
    </row>
    <row r="220" spans="1:10" s="27" customFormat="1" ht="27" customHeight="1" x14ac:dyDescent="0.2">
      <c r="A220" s="103" t="s">
        <v>14</v>
      </c>
      <c r="B220" s="103" t="s">
        <v>14</v>
      </c>
      <c r="C220" s="103" t="s">
        <v>469</v>
      </c>
      <c r="D220" s="103" t="s">
        <v>174</v>
      </c>
      <c r="E220" s="103">
        <f>E219+G219</f>
        <v>1790</v>
      </c>
      <c r="F220" s="103">
        <f t="shared" si="25"/>
        <v>1792</v>
      </c>
      <c r="G220" s="103">
        <v>3</v>
      </c>
      <c r="H220" s="102" t="s">
        <v>513</v>
      </c>
      <c r="I220" s="148"/>
      <c r="J220" s="157"/>
    </row>
    <row r="221" spans="1:10" s="27" customFormat="1" ht="114.75" x14ac:dyDescent="0.2">
      <c r="A221" s="103" t="s">
        <v>13</v>
      </c>
      <c r="B221" s="103" t="s">
        <v>13</v>
      </c>
      <c r="C221" s="103" t="s">
        <v>469</v>
      </c>
      <c r="D221" s="103" t="s">
        <v>174</v>
      </c>
      <c r="E221" s="103">
        <f>E220+G220</f>
        <v>1793</v>
      </c>
      <c r="F221" s="103">
        <f t="shared" si="25"/>
        <v>1795</v>
      </c>
      <c r="G221" s="103">
        <v>3</v>
      </c>
      <c r="H221" s="102" t="s">
        <v>434</v>
      </c>
      <c r="I221" s="101" t="s">
        <v>336</v>
      </c>
      <c r="J221" s="101" t="s">
        <v>613</v>
      </c>
    </row>
    <row r="222" spans="1:10" s="27" customFormat="1" x14ac:dyDescent="0.2">
      <c r="A222" s="103"/>
      <c r="B222" s="103"/>
      <c r="C222" s="103"/>
      <c r="D222" s="103"/>
      <c r="E222" s="103"/>
      <c r="F222" s="103"/>
      <c r="G222" s="103"/>
      <c r="H222" s="118" t="s">
        <v>119</v>
      </c>
      <c r="I222" s="101"/>
      <c r="J222" s="101"/>
    </row>
    <row r="223" spans="1:10" s="27" customFormat="1" x14ac:dyDescent="0.2">
      <c r="A223" s="103" t="s">
        <v>13</v>
      </c>
      <c r="B223" s="103" t="s">
        <v>13</v>
      </c>
      <c r="C223" s="103" t="s">
        <v>478</v>
      </c>
      <c r="D223" s="103" t="s">
        <v>174</v>
      </c>
      <c r="E223" s="103">
        <f>E221+G221</f>
        <v>1796</v>
      </c>
      <c r="F223" s="103">
        <f t="shared" ref="F223:F228" si="26">E223+G223-1</f>
        <v>1799</v>
      </c>
      <c r="G223" s="103">
        <v>4</v>
      </c>
      <c r="H223" s="105" t="s">
        <v>715</v>
      </c>
      <c r="I223" s="148" t="s">
        <v>162</v>
      </c>
      <c r="J223" s="148" t="s">
        <v>590</v>
      </c>
    </row>
    <row r="224" spans="1:10" s="27" customFormat="1" x14ac:dyDescent="0.2">
      <c r="A224" s="103" t="s">
        <v>13</v>
      </c>
      <c r="B224" s="103" t="s">
        <v>13</v>
      </c>
      <c r="C224" s="103" t="s">
        <v>478</v>
      </c>
      <c r="D224" s="103" t="s">
        <v>174</v>
      </c>
      <c r="E224" s="103">
        <f>E223+G223</f>
        <v>1800</v>
      </c>
      <c r="F224" s="103">
        <f t="shared" si="26"/>
        <v>1803</v>
      </c>
      <c r="G224" s="103">
        <v>4</v>
      </c>
      <c r="H224" s="105" t="s">
        <v>716</v>
      </c>
      <c r="I224" s="148"/>
      <c r="J224" s="148"/>
    </row>
    <row r="225" spans="1:17" s="27" customFormat="1" x14ac:dyDescent="0.2">
      <c r="A225" s="103" t="s">
        <v>13</v>
      </c>
      <c r="B225" s="103" t="s">
        <v>13</v>
      </c>
      <c r="C225" s="103" t="s">
        <v>478</v>
      </c>
      <c r="D225" s="103" t="s">
        <v>174</v>
      </c>
      <c r="E225" s="103">
        <f>E224+G224</f>
        <v>1804</v>
      </c>
      <c r="F225" s="103">
        <f t="shared" si="26"/>
        <v>1807</v>
      </c>
      <c r="G225" s="103">
        <v>4</v>
      </c>
      <c r="H225" s="105" t="s">
        <v>717</v>
      </c>
      <c r="I225" s="148"/>
      <c r="J225" s="148"/>
    </row>
    <row r="226" spans="1:17" s="27" customFormat="1" x14ac:dyDescent="0.2">
      <c r="A226" s="103" t="s">
        <v>13</v>
      </c>
      <c r="B226" s="103" t="s">
        <v>13</v>
      </c>
      <c r="C226" s="103" t="s">
        <v>478</v>
      </c>
      <c r="D226" s="103" t="s">
        <v>174</v>
      </c>
      <c r="E226" s="103">
        <f>E225+G225</f>
        <v>1808</v>
      </c>
      <c r="F226" s="103">
        <f t="shared" si="26"/>
        <v>1811</v>
      </c>
      <c r="G226" s="103">
        <v>4</v>
      </c>
      <c r="H226" s="105" t="s">
        <v>718</v>
      </c>
      <c r="I226" s="148"/>
      <c r="J226" s="148"/>
    </row>
    <row r="227" spans="1:17" s="27" customFormat="1" x14ac:dyDescent="0.2">
      <c r="A227" s="103" t="s">
        <v>13</v>
      </c>
      <c r="B227" s="103" t="s">
        <v>13</v>
      </c>
      <c r="C227" s="103" t="s">
        <v>478</v>
      </c>
      <c r="D227" s="103" t="s">
        <v>174</v>
      </c>
      <c r="E227" s="103">
        <f>E226+G226</f>
        <v>1812</v>
      </c>
      <c r="F227" s="103">
        <f t="shared" si="26"/>
        <v>1815</v>
      </c>
      <c r="G227" s="103">
        <v>4</v>
      </c>
      <c r="H227" s="105" t="s">
        <v>719</v>
      </c>
      <c r="I227" s="148"/>
      <c r="J227" s="148"/>
    </row>
    <row r="228" spans="1:17" s="27" customFormat="1" x14ac:dyDescent="0.2">
      <c r="A228" s="103"/>
      <c r="B228" s="103"/>
      <c r="C228" s="103"/>
      <c r="D228" s="103"/>
      <c r="E228" s="103">
        <f>E227+G227</f>
        <v>1816</v>
      </c>
      <c r="F228" s="103">
        <f t="shared" si="26"/>
        <v>1827</v>
      </c>
      <c r="G228" s="103">
        <v>12</v>
      </c>
      <c r="H228" s="102" t="s">
        <v>271</v>
      </c>
      <c r="I228" s="101"/>
      <c r="J228" s="101"/>
    </row>
    <row r="229" spans="1:17" s="27" customFormat="1" x14ac:dyDescent="0.2">
      <c r="A229" s="103"/>
      <c r="B229" s="103"/>
      <c r="C229" s="103"/>
      <c r="D229" s="103"/>
      <c r="E229" s="103"/>
      <c r="F229" s="103"/>
      <c r="G229" s="103"/>
      <c r="H229" s="118" t="s">
        <v>120</v>
      </c>
      <c r="I229" s="101"/>
      <c r="J229" s="104"/>
    </row>
    <row r="230" spans="1:17" s="27" customFormat="1" ht="25.5" customHeight="1" x14ac:dyDescent="0.2">
      <c r="A230" s="103" t="s">
        <v>13</v>
      </c>
      <c r="B230" s="103" t="s">
        <v>13</v>
      </c>
      <c r="C230" s="103" t="s">
        <v>478</v>
      </c>
      <c r="D230" s="103" t="s">
        <v>174</v>
      </c>
      <c r="E230" s="103">
        <f>E228+G228</f>
        <v>1828</v>
      </c>
      <c r="F230" s="103">
        <f>E230+G230-1</f>
        <v>1831</v>
      </c>
      <c r="G230" s="103">
        <v>4</v>
      </c>
      <c r="H230" s="105" t="s">
        <v>712</v>
      </c>
      <c r="I230" s="148" t="s">
        <v>162</v>
      </c>
      <c r="J230" s="148" t="s">
        <v>743</v>
      </c>
    </row>
    <row r="231" spans="1:17" s="27" customFormat="1" ht="25.5" customHeight="1" x14ac:dyDescent="0.2">
      <c r="A231" s="103" t="s">
        <v>13</v>
      </c>
      <c r="B231" s="103" t="s">
        <v>13</v>
      </c>
      <c r="C231" s="103" t="s">
        <v>478</v>
      </c>
      <c r="D231" s="103" t="s">
        <v>174</v>
      </c>
      <c r="E231" s="103">
        <f>E230+G230</f>
        <v>1832</v>
      </c>
      <c r="F231" s="103">
        <f>E231+G231-1</f>
        <v>1835</v>
      </c>
      <c r="G231" s="103">
        <v>4</v>
      </c>
      <c r="H231" s="105" t="s">
        <v>720</v>
      </c>
      <c r="I231" s="148"/>
      <c r="J231" s="148"/>
    </row>
    <row r="232" spans="1:17" s="27" customFormat="1" x14ac:dyDescent="0.2">
      <c r="A232" s="103"/>
      <c r="B232" s="103"/>
      <c r="C232" s="103"/>
      <c r="D232" s="103"/>
      <c r="E232" s="103">
        <f>E231+G231</f>
        <v>1836</v>
      </c>
      <c r="F232" s="103">
        <f>E232+G232-1</f>
        <v>1844</v>
      </c>
      <c r="G232" s="103">
        <v>9</v>
      </c>
      <c r="H232" s="102" t="s">
        <v>271</v>
      </c>
      <c r="I232" s="101"/>
      <c r="J232" s="101"/>
    </row>
    <row r="233" spans="1:17" s="27" customFormat="1" x14ac:dyDescent="0.2">
      <c r="A233" s="103"/>
      <c r="B233" s="103"/>
      <c r="C233" s="103"/>
      <c r="D233" s="103"/>
      <c r="E233" s="103"/>
      <c r="F233" s="103"/>
      <c r="G233" s="103"/>
      <c r="H233" s="118" t="s">
        <v>123</v>
      </c>
      <c r="I233" s="101"/>
      <c r="J233" s="104"/>
    </row>
    <row r="234" spans="1:17" s="27" customFormat="1" ht="38.25" x14ac:dyDescent="0.2">
      <c r="A234" s="103" t="s">
        <v>13</v>
      </c>
      <c r="B234" s="103" t="s">
        <v>13</v>
      </c>
      <c r="C234" s="103" t="s">
        <v>479</v>
      </c>
      <c r="D234" s="103" t="s">
        <v>174</v>
      </c>
      <c r="E234" s="103">
        <f>E232+G232</f>
        <v>1845</v>
      </c>
      <c r="F234" s="103">
        <f>E234+G234-1</f>
        <v>1847</v>
      </c>
      <c r="G234" s="103">
        <v>3</v>
      </c>
      <c r="H234" s="102" t="s">
        <v>124</v>
      </c>
      <c r="I234" s="101" t="s">
        <v>388</v>
      </c>
      <c r="J234" s="101" t="s">
        <v>591</v>
      </c>
    </row>
    <row r="235" spans="1:17" s="27" customFormat="1" ht="51" x14ac:dyDescent="0.2">
      <c r="A235" s="103" t="s">
        <v>13</v>
      </c>
      <c r="B235" s="103" t="s">
        <v>13</v>
      </c>
      <c r="C235" s="103" t="s">
        <v>478</v>
      </c>
      <c r="D235" s="103" t="s">
        <v>174</v>
      </c>
      <c r="E235" s="103">
        <f>E234+G234</f>
        <v>1848</v>
      </c>
      <c r="F235" s="103">
        <f>E235+G235-1</f>
        <v>1851</v>
      </c>
      <c r="G235" s="103">
        <v>4</v>
      </c>
      <c r="H235" s="102" t="s">
        <v>125</v>
      </c>
      <c r="I235" s="101" t="s">
        <v>162</v>
      </c>
      <c r="J235" s="101" t="s">
        <v>721</v>
      </c>
      <c r="K235" s="35"/>
    </row>
    <row r="236" spans="1:17" s="27" customFormat="1" x14ac:dyDescent="0.2">
      <c r="A236" s="103"/>
      <c r="B236" s="103"/>
      <c r="C236" s="103"/>
      <c r="D236" s="103"/>
      <c r="E236" s="103">
        <f>E235+G235</f>
        <v>1852</v>
      </c>
      <c r="F236" s="103">
        <f>E236+G236-1</f>
        <v>1862</v>
      </c>
      <c r="G236" s="103">
        <v>11</v>
      </c>
      <c r="H236" s="105" t="s">
        <v>271</v>
      </c>
      <c r="I236" s="101"/>
      <c r="J236" s="101"/>
    </row>
    <row r="237" spans="1:17" s="27" customFormat="1" x14ac:dyDescent="0.2">
      <c r="A237" s="103"/>
      <c r="B237" s="103"/>
      <c r="C237" s="103"/>
      <c r="D237" s="103"/>
      <c r="E237" s="103"/>
      <c r="F237" s="103"/>
      <c r="G237" s="103"/>
      <c r="H237" s="118" t="s">
        <v>12</v>
      </c>
      <c r="I237" s="50"/>
      <c r="J237" s="104"/>
    </row>
    <row r="238" spans="1:17" s="27" customFormat="1" ht="51" x14ac:dyDescent="0.2">
      <c r="A238" s="103" t="s">
        <v>13</v>
      </c>
      <c r="B238" s="103" t="s">
        <v>13</v>
      </c>
      <c r="C238" s="103" t="s">
        <v>478</v>
      </c>
      <c r="D238" s="103" t="s">
        <v>174</v>
      </c>
      <c r="E238" s="103">
        <f>E236+G236</f>
        <v>1863</v>
      </c>
      <c r="F238" s="103">
        <f t="shared" ref="F238:F243" si="27">E238+G238-1</f>
        <v>1867</v>
      </c>
      <c r="G238" s="103">
        <v>5</v>
      </c>
      <c r="H238" s="102" t="s">
        <v>435</v>
      </c>
      <c r="I238" s="101" t="s">
        <v>164</v>
      </c>
      <c r="J238" s="101" t="s">
        <v>647</v>
      </c>
    </row>
    <row r="239" spans="1:17" s="27" customFormat="1" ht="63.75" x14ac:dyDescent="0.2">
      <c r="A239" s="103" t="s">
        <v>13</v>
      </c>
      <c r="B239" s="103" t="s">
        <v>13</v>
      </c>
      <c r="C239" s="103" t="s">
        <v>469</v>
      </c>
      <c r="D239" s="103" t="s">
        <v>174</v>
      </c>
      <c r="E239" s="103">
        <f>E238+G238</f>
        <v>1868</v>
      </c>
      <c r="F239" s="103">
        <f t="shared" si="27"/>
        <v>1870</v>
      </c>
      <c r="G239" s="103">
        <v>3</v>
      </c>
      <c r="H239" s="102" t="s">
        <v>436</v>
      </c>
      <c r="I239" s="101" t="s">
        <v>165</v>
      </c>
      <c r="J239" s="101" t="s">
        <v>615</v>
      </c>
    </row>
    <row r="240" spans="1:17" s="27" customFormat="1" ht="63.75" x14ac:dyDescent="0.2">
      <c r="A240" s="103" t="s">
        <v>14</v>
      </c>
      <c r="B240" s="103" t="s">
        <v>14</v>
      </c>
      <c r="C240" s="103" t="s">
        <v>469</v>
      </c>
      <c r="D240" s="103" t="s">
        <v>174</v>
      </c>
      <c r="E240" s="103">
        <f>E239+G239</f>
        <v>1871</v>
      </c>
      <c r="F240" s="103">
        <f t="shared" si="27"/>
        <v>1873</v>
      </c>
      <c r="G240" s="103">
        <v>3</v>
      </c>
      <c r="H240" s="102" t="s">
        <v>130</v>
      </c>
      <c r="I240" s="101" t="s">
        <v>599</v>
      </c>
      <c r="J240" s="109" t="s">
        <v>722</v>
      </c>
      <c r="Q240" s="84"/>
    </row>
    <row r="241" spans="1:18" s="27" customFormat="1" ht="27" customHeight="1" x14ac:dyDescent="0.2">
      <c r="A241" s="103" t="s">
        <v>14</v>
      </c>
      <c r="B241" s="103" t="s">
        <v>14</v>
      </c>
      <c r="C241" s="103" t="s">
        <v>469</v>
      </c>
      <c r="D241" s="103" t="s">
        <v>174</v>
      </c>
      <c r="E241" s="103">
        <f>E240+G240</f>
        <v>1874</v>
      </c>
      <c r="F241" s="103">
        <f t="shared" si="27"/>
        <v>1876</v>
      </c>
      <c r="G241" s="103">
        <v>3</v>
      </c>
      <c r="H241" s="102" t="s">
        <v>514</v>
      </c>
      <c r="I241" s="148" t="s">
        <v>165</v>
      </c>
      <c r="J241" s="156" t="s">
        <v>723</v>
      </c>
    </row>
    <row r="242" spans="1:18" s="27" customFormat="1" ht="26.25" customHeight="1" x14ac:dyDescent="0.2">
      <c r="A242" s="103" t="s">
        <v>14</v>
      </c>
      <c r="B242" s="103" t="s">
        <v>14</v>
      </c>
      <c r="C242" s="103" t="s">
        <v>469</v>
      </c>
      <c r="D242" s="103" t="s">
        <v>174</v>
      </c>
      <c r="E242" s="103">
        <f>E241+G241</f>
        <v>1877</v>
      </c>
      <c r="F242" s="103">
        <f t="shared" si="27"/>
        <v>1879</v>
      </c>
      <c r="G242" s="103">
        <v>3</v>
      </c>
      <c r="H242" s="102" t="s">
        <v>515</v>
      </c>
      <c r="I242" s="148"/>
      <c r="J242" s="157"/>
    </row>
    <row r="243" spans="1:18" s="27" customFormat="1" ht="114.75" x14ac:dyDescent="0.2">
      <c r="A243" s="103" t="s">
        <v>13</v>
      </c>
      <c r="B243" s="103" t="s">
        <v>13</v>
      </c>
      <c r="C243" s="103" t="s">
        <v>469</v>
      </c>
      <c r="D243" s="103" t="s">
        <v>174</v>
      </c>
      <c r="E243" s="103">
        <f>E242+G242</f>
        <v>1880</v>
      </c>
      <c r="F243" s="103">
        <f t="shared" si="27"/>
        <v>1882</v>
      </c>
      <c r="G243" s="103">
        <v>3</v>
      </c>
      <c r="H243" s="102" t="s">
        <v>437</v>
      </c>
      <c r="I243" s="101" t="s">
        <v>336</v>
      </c>
      <c r="J243" s="101" t="s">
        <v>614</v>
      </c>
    </row>
    <row r="244" spans="1:18" s="27" customFormat="1" x14ac:dyDescent="0.2">
      <c r="A244" s="103"/>
      <c r="B244" s="103"/>
      <c r="C244" s="103"/>
      <c r="D244" s="103"/>
      <c r="E244" s="103"/>
      <c r="F244" s="103"/>
      <c r="G244" s="103"/>
      <c r="H244" s="118" t="s">
        <v>119</v>
      </c>
      <c r="I244" s="101"/>
      <c r="J244" s="104"/>
    </row>
    <row r="245" spans="1:18" s="27" customFormat="1" x14ac:dyDescent="0.2">
      <c r="A245" s="103" t="s">
        <v>13</v>
      </c>
      <c r="B245" s="103" t="s">
        <v>13</v>
      </c>
      <c r="C245" s="103" t="s">
        <v>478</v>
      </c>
      <c r="D245" s="103" t="s">
        <v>174</v>
      </c>
      <c r="E245" s="103">
        <f>E243+G243</f>
        <v>1883</v>
      </c>
      <c r="F245" s="103">
        <f>E245+G245-1</f>
        <v>1886</v>
      </c>
      <c r="G245" s="103">
        <v>4</v>
      </c>
      <c r="H245" s="105" t="s">
        <v>724</v>
      </c>
      <c r="I245" s="148" t="s">
        <v>162</v>
      </c>
      <c r="J245" s="148" t="s">
        <v>592</v>
      </c>
      <c r="Q245" s="151"/>
      <c r="R245" s="151"/>
    </row>
    <row r="246" spans="1:18" s="27" customFormat="1" x14ac:dyDescent="0.2">
      <c r="A246" s="103" t="s">
        <v>13</v>
      </c>
      <c r="B246" s="103" t="s">
        <v>13</v>
      </c>
      <c r="C246" s="103" t="s">
        <v>478</v>
      </c>
      <c r="D246" s="103" t="s">
        <v>174</v>
      </c>
      <c r="E246" s="103">
        <f>E245+G245</f>
        <v>1887</v>
      </c>
      <c r="F246" s="103">
        <f>E246+G246-1</f>
        <v>1890</v>
      </c>
      <c r="G246" s="103">
        <v>4</v>
      </c>
      <c r="H246" s="105" t="s">
        <v>725</v>
      </c>
      <c r="I246" s="148"/>
      <c r="J246" s="148"/>
      <c r="Q246" s="151"/>
      <c r="R246" s="151"/>
    </row>
    <row r="247" spans="1:18" s="27" customFormat="1" x14ac:dyDescent="0.2">
      <c r="A247" s="103" t="s">
        <v>13</v>
      </c>
      <c r="B247" s="103" t="s">
        <v>13</v>
      </c>
      <c r="C247" s="103" t="s">
        <v>478</v>
      </c>
      <c r="D247" s="103" t="s">
        <v>174</v>
      </c>
      <c r="E247" s="103">
        <f>E246+G246</f>
        <v>1891</v>
      </c>
      <c r="F247" s="103">
        <f>E247+G247-1</f>
        <v>1894</v>
      </c>
      <c r="G247" s="103">
        <v>4</v>
      </c>
      <c r="H247" s="105" t="s">
        <v>726</v>
      </c>
      <c r="I247" s="148"/>
      <c r="J247" s="148"/>
      <c r="Q247" s="151"/>
      <c r="R247" s="151"/>
    </row>
    <row r="248" spans="1:18" s="27" customFormat="1" x14ac:dyDescent="0.2">
      <c r="A248" s="103" t="s">
        <v>13</v>
      </c>
      <c r="B248" s="103" t="s">
        <v>13</v>
      </c>
      <c r="C248" s="103" t="s">
        <v>478</v>
      </c>
      <c r="D248" s="103" t="s">
        <v>174</v>
      </c>
      <c r="E248" s="103">
        <f>E247+G247</f>
        <v>1895</v>
      </c>
      <c r="F248" s="103">
        <f>E248+G248-1</f>
        <v>1898</v>
      </c>
      <c r="G248" s="103">
        <v>4</v>
      </c>
      <c r="H248" s="105" t="s">
        <v>727</v>
      </c>
      <c r="I248" s="148"/>
      <c r="J248" s="148"/>
      <c r="Q248" s="151"/>
      <c r="R248" s="151"/>
    </row>
    <row r="249" spans="1:18" s="27" customFormat="1" x14ac:dyDescent="0.2">
      <c r="A249" s="103"/>
      <c r="B249" s="103"/>
      <c r="C249" s="103"/>
      <c r="D249" s="103"/>
      <c r="E249" s="103">
        <f>E248+G248</f>
        <v>1899</v>
      </c>
      <c r="F249" s="103">
        <f>E249+G249-1</f>
        <v>1914</v>
      </c>
      <c r="G249" s="103">
        <v>16</v>
      </c>
      <c r="H249" s="102" t="s">
        <v>272</v>
      </c>
      <c r="I249" s="101"/>
      <c r="J249" s="101"/>
      <c r="Q249" s="151"/>
      <c r="R249" s="151"/>
    </row>
    <row r="250" spans="1:18" s="27" customFormat="1" x14ac:dyDescent="0.2">
      <c r="A250" s="103"/>
      <c r="B250" s="103"/>
      <c r="C250" s="103"/>
      <c r="D250" s="103"/>
      <c r="E250" s="103"/>
      <c r="F250" s="103"/>
      <c r="G250" s="103"/>
      <c r="H250" s="118" t="s">
        <v>120</v>
      </c>
      <c r="I250" s="101"/>
      <c r="J250" s="104"/>
      <c r="Q250" s="151"/>
      <c r="R250" s="151"/>
    </row>
    <row r="251" spans="1:18" s="27" customFormat="1" ht="25.5" customHeight="1" x14ac:dyDescent="0.2">
      <c r="A251" s="103" t="s">
        <v>13</v>
      </c>
      <c r="B251" s="103" t="s">
        <v>13</v>
      </c>
      <c r="C251" s="103" t="s">
        <v>479</v>
      </c>
      <c r="D251" s="103" t="s">
        <v>174</v>
      </c>
      <c r="E251" s="103">
        <f>E249+G249</f>
        <v>1915</v>
      </c>
      <c r="F251" s="103">
        <f>E251+G251-1</f>
        <v>1918</v>
      </c>
      <c r="G251" s="103">
        <v>4</v>
      </c>
      <c r="H251" s="105" t="s">
        <v>129</v>
      </c>
      <c r="I251" s="148" t="s">
        <v>162</v>
      </c>
      <c r="J251" s="148" t="s">
        <v>593</v>
      </c>
      <c r="Q251" s="151"/>
      <c r="R251" s="151"/>
    </row>
    <row r="252" spans="1:18" s="27" customFormat="1" ht="25.5" customHeight="1" x14ac:dyDescent="0.2">
      <c r="A252" s="103" t="s">
        <v>13</v>
      </c>
      <c r="B252" s="103" t="s">
        <v>13</v>
      </c>
      <c r="C252" s="103" t="s">
        <v>478</v>
      </c>
      <c r="D252" s="103" t="s">
        <v>174</v>
      </c>
      <c r="E252" s="103">
        <f>E251+G251</f>
        <v>1919</v>
      </c>
      <c r="F252" s="103">
        <f>E252+G252-1</f>
        <v>1922</v>
      </c>
      <c r="G252" s="103">
        <v>4</v>
      </c>
      <c r="H252" s="105" t="s">
        <v>127</v>
      </c>
      <c r="I252" s="148"/>
      <c r="J252" s="148"/>
    </row>
    <row r="253" spans="1:18" s="27" customFormat="1" x14ac:dyDescent="0.2">
      <c r="A253" s="103"/>
      <c r="B253" s="103"/>
      <c r="C253" s="103"/>
      <c r="D253" s="103"/>
      <c r="E253" s="103">
        <f>E252+G252</f>
        <v>1923</v>
      </c>
      <c r="F253" s="103">
        <f>E253+G253-1</f>
        <v>1933</v>
      </c>
      <c r="G253" s="103">
        <v>11</v>
      </c>
      <c r="H253" s="102" t="s">
        <v>271</v>
      </c>
      <c r="I253" s="101"/>
      <c r="J253" s="101"/>
    </row>
    <row r="254" spans="1:18" s="36" customFormat="1" x14ac:dyDescent="0.2">
      <c r="A254" s="103"/>
      <c r="B254" s="103"/>
      <c r="C254" s="103"/>
      <c r="D254" s="103"/>
      <c r="E254" s="103"/>
      <c r="F254" s="103"/>
      <c r="G254" s="103"/>
      <c r="H254" s="118" t="s">
        <v>17</v>
      </c>
      <c r="I254" s="49"/>
      <c r="J254" s="104"/>
    </row>
    <row r="255" spans="1:18" s="27" customFormat="1" ht="25.5" x14ac:dyDescent="0.2">
      <c r="A255" s="103"/>
      <c r="B255" s="103"/>
      <c r="C255" s="103"/>
      <c r="D255" s="103"/>
      <c r="E255" s="103"/>
      <c r="F255" s="103"/>
      <c r="G255" s="103"/>
      <c r="H255" s="119" t="s">
        <v>23</v>
      </c>
      <c r="I255" s="101"/>
      <c r="J255" s="104"/>
    </row>
    <row r="256" spans="1:18" s="27" customFormat="1" ht="15.75" customHeight="1" x14ac:dyDescent="0.2">
      <c r="A256" s="103" t="s">
        <v>13</v>
      </c>
      <c r="B256" s="103" t="s">
        <v>13</v>
      </c>
      <c r="C256" s="103" t="s">
        <v>479</v>
      </c>
      <c r="D256" s="103" t="s">
        <v>174</v>
      </c>
      <c r="E256" s="103">
        <f>E253+G253</f>
        <v>1934</v>
      </c>
      <c r="F256" s="103">
        <f>E256+G256-1</f>
        <v>1934</v>
      </c>
      <c r="G256" s="103">
        <v>1</v>
      </c>
      <c r="H256" s="105" t="s">
        <v>525</v>
      </c>
      <c r="I256" s="148" t="s">
        <v>311</v>
      </c>
      <c r="J256" s="155" t="s">
        <v>744</v>
      </c>
    </row>
    <row r="257" spans="1:17" s="27" customFormat="1" ht="15.75" customHeight="1" x14ac:dyDescent="0.2">
      <c r="A257" s="103" t="s">
        <v>13</v>
      </c>
      <c r="B257" s="103" t="s">
        <v>13</v>
      </c>
      <c r="C257" s="103" t="s">
        <v>479</v>
      </c>
      <c r="D257" s="103" t="s">
        <v>174</v>
      </c>
      <c r="E257" s="103">
        <f>E256+G256</f>
        <v>1935</v>
      </c>
      <c r="F257" s="103">
        <f>E257+G257-1</f>
        <v>1935</v>
      </c>
      <c r="G257" s="103">
        <v>1</v>
      </c>
      <c r="H257" s="105" t="s">
        <v>526</v>
      </c>
      <c r="I257" s="148"/>
      <c r="J257" s="155"/>
    </row>
    <row r="258" spans="1:17" s="27" customFormat="1" ht="15.75" customHeight="1" x14ac:dyDescent="0.2">
      <c r="A258" s="103" t="s">
        <v>13</v>
      </c>
      <c r="B258" s="103" t="s">
        <v>13</v>
      </c>
      <c r="C258" s="103" t="s">
        <v>479</v>
      </c>
      <c r="D258" s="103" t="s">
        <v>174</v>
      </c>
      <c r="E258" s="103">
        <f>E257+G257</f>
        <v>1936</v>
      </c>
      <c r="F258" s="103">
        <f>E258+G258-1</f>
        <v>1936</v>
      </c>
      <c r="G258" s="103">
        <v>1</v>
      </c>
      <c r="H258" s="105" t="s">
        <v>527</v>
      </c>
      <c r="I258" s="148"/>
      <c r="J258" s="155"/>
    </row>
    <row r="259" spans="1:17" s="27" customFormat="1" ht="15.75" customHeight="1" x14ac:dyDescent="0.2">
      <c r="A259" s="103" t="s">
        <v>13</v>
      </c>
      <c r="B259" s="103" t="s">
        <v>13</v>
      </c>
      <c r="C259" s="103" t="s">
        <v>479</v>
      </c>
      <c r="D259" s="103" t="s">
        <v>174</v>
      </c>
      <c r="E259" s="103">
        <f>E258+G258</f>
        <v>1937</v>
      </c>
      <c r="F259" s="103">
        <f>E259+G259-1</f>
        <v>1937</v>
      </c>
      <c r="G259" s="103">
        <v>1</v>
      </c>
      <c r="H259" s="105" t="s">
        <v>528</v>
      </c>
      <c r="I259" s="148"/>
      <c r="J259" s="155"/>
    </row>
    <row r="260" spans="1:17" s="87" customFormat="1" x14ac:dyDescent="0.2">
      <c r="A260" s="103"/>
      <c r="B260" s="103"/>
      <c r="C260" s="103"/>
      <c r="D260" s="103"/>
      <c r="E260" s="103"/>
      <c r="F260" s="103"/>
      <c r="G260" s="103"/>
      <c r="H260" s="120" t="s">
        <v>648</v>
      </c>
      <c r="I260" s="101"/>
      <c r="J260" s="108"/>
    </row>
    <row r="261" spans="1:17" s="87" customFormat="1" x14ac:dyDescent="0.2">
      <c r="A261" s="103" t="s">
        <v>14</v>
      </c>
      <c r="B261" s="103" t="s">
        <v>14</v>
      </c>
      <c r="C261" s="103" t="s">
        <v>151</v>
      </c>
      <c r="D261" s="103" t="s">
        <v>174</v>
      </c>
      <c r="E261" s="103">
        <f>E259+G259</f>
        <v>1938</v>
      </c>
      <c r="F261" s="103">
        <f>E261+G261-1</f>
        <v>1938</v>
      </c>
      <c r="G261" s="103">
        <v>1</v>
      </c>
      <c r="H261" s="102" t="s">
        <v>649</v>
      </c>
      <c r="I261" s="150" t="s">
        <v>650</v>
      </c>
      <c r="J261" s="150" t="s">
        <v>651</v>
      </c>
    </row>
    <row r="262" spans="1:17" s="87" customFormat="1" x14ac:dyDescent="0.2">
      <c r="A262" s="103" t="s">
        <v>14</v>
      </c>
      <c r="B262" s="103" t="s">
        <v>14</v>
      </c>
      <c r="C262" s="103" t="s">
        <v>151</v>
      </c>
      <c r="D262" s="103" t="s">
        <v>174</v>
      </c>
      <c r="E262" s="103">
        <f>E261+G261</f>
        <v>1939</v>
      </c>
      <c r="F262" s="103">
        <f>E262+G262-1</f>
        <v>1939</v>
      </c>
      <c r="G262" s="103">
        <v>1</v>
      </c>
      <c r="H262" s="102" t="s">
        <v>652</v>
      </c>
      <c r="I262" s="150"/>
      <c r="J262" s="150"/>
    </row>
    <row r="263" spans="1:17" s="87" customFormat="1" x14ac:dyDescent="0.2">
      <c r="A263" s="103" t="s">
        <v>14</v>
      </c>
      <c r="B263" s="103" t="s">
        <v>14</v>
      </c>
      <c r="C263" s="103" t="s">
        <v>151</v>
      </c>
      <c r="D263" s="103" t="s">
        <v>174</v>
      </c>
      <c r="E263" s="103">
        <f>E262+G262</f>
        <v>1940</v>
      </c>
      <c r="F263" s="103">
        <f>E263+G263-1</f>
        <v>1940</v>
      </c>
      <c r="G263" s="103">
        <v>1</v>
      </c>
      <c r="H263" s="102" t="s">
        <v>653</v>
      </c>
      <c r="I263" s="150"/>
      <c r="J263" s="150"/>
    </row>
    <row r="264" spans="1:17" s="87" customFormat="1" x14ac:dyDescent="0.2">
      <c r="A264" s="103" t="s">
        <v>14</v>
      </c>
      <c r="B264" s="103" t="s">
        <v>14</v>
      </c>
      <c r="C264" s="103" t="s">
        <v>151</v>
      </c>
      <c r="D264" s="103" t="s">
        <v>174</v>
      </c>
      <c r="E264" s="103">
        <f>E263+G263</f>
        <v>1941</v>
      </c>
      <c r="F264" s="103">
        <f>E264+G264-1</f>
        <v>1941</v>
      </c>
      <c r="G264" s="103">
        <v>1</v>
      </c>
      <c r="H264" s="102" t="s">
        <v>654</v>
      </c>
      <c r="I264" s="150"/>
      <c r="J264" s="150"/>
    </row>
    <row r="265" spans="1:17" s="31" customFormat="1" x14ac:dyDescent="0.2">
      <c r="A265" s="103"/>
      <c r="B265" s="103"/>
      <c r="C265" s="103"/>
      <c r="D265" s="103"/>
      <c r="E265" s="103">
        <f>E264+G264</f>
        <v>1942</v>
      </c>
      <c r="F265" s="103">
        <f>E265+G265-1</f>
        <v>1951</v>
      </c>
      <c r="G265" s="103">
        <v>10</v>
      </c>
      <c r="H265" s="102" t="s">
        <v>271</v>
      </c>
      <c r="I265" s="101"/>
      <c r="J265" s="104"/>
    </row>
    <row r="266" spans="1:17" s="27" customFormat="1" x14ac:dyDescent="0.2">
      <c r="A266" s="103"/>
      <c r="B266" s="103"/>
      <c r="C266" s="103"/>
      <c r="D266" s="103"/>
      <c r="E266" s="103"/>
      <c r="F266" s="103"/>
      <c r="G266" s="103"/>
      <c r="H266" s="118" t="s">
        <v>156</v>
      </c>
      <c r="I266" s="101"/>
      <c r="J266" s="104"/>
    </row>
    <row r="267" spans="1:17" s="27" customFormat="1" x14ac:dyDescent="0.2">
      <c r="A267" s="103" t="s">
        <v>13</v>
      </c>
      <c r="B267" s="103" t="s">
        <v>13</v>
      </c>
      <c r="C267" s="103"/>
      <c r="D267" s="103" t="s">
        <v>174</v>
      </c>
      <c r="E267" s="103">
        <f>E265+G265</f>
        <v>1952</v>
      </c>
      <c r="F267" s="103">
        <f>E267+G267-1</f>
        <v>1952</v>
      </c>
      <c r="G267" s="103">
        <v>1</v>
      </c>
      <c r="H267" s="102" t="s">
        <v>516</v>
      </c>
      <c r="I267" s="148" t="s">
        <v>335</v>
      </c>
      <c r="J267" s="148" t="s">
        <v>728</v>
      </c>
      <c r="Q267" s="150"/>
    </row>
    <row r="268" spans="1:17" s="27" customFormat="1" x14ac:dyDescent="0.2">
      <c r="A268" s="103" t="s">
        <v>13</v>
      </c>
      <c r="B268" s="103" t="s">
        <v>13</v>
      </c>
      <c r="C268" s="103"/>
      <c r="D268" s="103" t="s">
        <v>174</v>
      </c>
      <c r="E268" s="103">
        <f>E267+G267</f>
        <v>1953</v>
      </c>
      <c r="F268" s="103">
        <f>E268+G268-1</f>
        <v>1953</v>
      </c>
      <c r="G268" s="103">
        <v>1</v>
      </c>
      <c r="H268" s="102" t="s">
        <v>517</v>
      </c>
      <c r="I268" s="148"/>
      <c r="J268" s="152"/>
      <c r="Q268" s="153"/>
    </row>
    <row r="269" spans="1:17" s="27" customFormat="1" x14ac:dyDescent="0.2">
      <c r="A269" s="103" t="s">
        <v>13</v>
      </c>
      <c r="B269" s="103" t="s">
        <v>13</v>
      </c>
      <c r="C269" s="103"/>
      <c r="D269" s="103" t="s">
        <v>174</v>
      </c>
      <c r="E269" s="103">
        <f>E268+G268</f>
        <v>1954</v>
      </c>
      <c r="F269" s="103">
        <f>E269+G269-1</f>
        <v>1954</v>
      </c>
      <c r="G269" s="103">
        <v>1</v>
      </c>
      <c r="H269" s="102" t="s">
        <v>518</v>
      </c>
      <c r="I269" s="148"/>
      <c r="J269" s="152"/>
      <c r="Q269" s="153"/>
    </row>
    <row r="270" spans="1:17" s="27" customFormat="1" x14ac:dyDescent="0.2">
      <c r="A270" s="103" t="s">
        <v>13</v>
      </c>
      <c r="B270" s="103" t="s">
        <v>13</v>
      </c>
      <c r="C270" s="103"/>
      <c r="D270" s="103" t="s">
        <v>174</v>
      </c>
      <c r="E270" s="103">
        <f>E269+G269</f>
        <v>1955</v>
      </c>
      <c r="F270" s="103">
        <f>E270+G270-1</f>
        <v>1955</v>
      </c>
      <c r="G270" s="103">
        <v>1</v>
      </c>
      <c r="H270" s="102" t="s">
        <v>519</v>
      </c>
      <c r="I270" s="148"/>
      <c r="J270" s="152"/>
      <c r="Q270" s="153"/>
    </row>
    <row r="271" spans="1:17" s="27" customFormat="1" x14ac:dyDescent="0.2">
      <c r="A271" s="103"/>
      <c r="B271" s="103"/>
      <c r="C271" s="103"/>
      <c r="D271" s="103"/>
      <c r="E271" s="103">
        <f>E270+G270</f>
        <v>1956</v>
      </c>
      <c r="F271" s="103">
        <f>E271+G271-1</f>
        <v>1960</v>
      </c>
      <c r="G271" s="103">
        <v>5</v>
      </c>
      <c r="H271" s="102" t="s">
        <v>271</v>
      </c>
      <c r="I271" s="101"/>
      <c r="J271" s="104"/>
    </row>
    <row r="272" spans="1:17" s="27" customFormat="1" x14ac:dyDescent="0.2">
      <c r="A272" s="103"/>
      <c r="B272" s="103"/>
      <c r="C272" s="103"/>
      <c r="D272" s="103"/>
      <c r="E272" s="103"/>
      <c r="F272" s="103"/>
      <c r="G272" s="103"/>
      <c r="H272" s="118" t="s">
        <v>157</v>
      </c>
      <c r="I272" s="101"/>
      <c r="J272" s="104"/>
    </row>
    <row r="273" spans="1:17" s="27" customFormat="1" ht="16.5" customHeight="1" x14ac:dyDescent="0.2">
      <c r="A273" s="103" t="s">
        <v>14</v>
      </c>
      <c r="B273" s="103" t="s">
        <v>14</v>
      </c>
      <c r="C273" s="103"/>
      <c r="D273" s="103" t="s">
        <v>174</v>
      </c>
      <c r="E273" s="103">
        <f>E271+G271</f>
        <v>1961</v>
      </c>
      <c r="F273" s="103">
        <f>E273+G273-1</f>
        <v>1961</v>
      </c>
      <c r="G273" s="103">
        <v>1</v>
      </c>
      <c r="H273" s="102" t="s">
        <v>520</v>
      </c>
      <c r="I273" s="148" t="s">
        <v>334</v>
      </c>
      <c r="J273" s="148" t="s">
        <v>554</v>
      </c>
      <c r="Q273" s="150"/>
    </row>
    <row r="274" spans="1:17" s="27" customFormat="1" ht="15" customHeight="1" x14ac:dyDescent="0.2">
      <c r="A274" s="103" t="s">
        <v>14</v>
      </c>
      <c r="B274" s="103" t="s">
        <v>14</v>
      </c>
      <c r="C274" s="103"/>
      <c r="D274" s="103" t="s">
        <v>174</v>
      </c>
      <c r="E274" s="103">
        <f>E273+G273</f>
        <v>1962</v>
      </c>
      <c r="F274" s="103">
        <f>E274+G274-1</f>
        <v>1962</v>
      </c>
      <c r="G274" s="103">
        <v>1</v>
      </c>
      <c r="H274" s="102" t="s">
        <v>521</v>
      </c>
      <c r="I274" s="148"/>
      <c r="J274" s="152"/>
      <c r="Q274" s="154"/>
    </row>
    <row r="275" spans="1:17" s="27" customFormat="1" ht="18" customHeight="1" x14ac:dyDescent="0.2">
      <c r="A275" s="103" t="s">
        <v>14</v>
      </c>
      <c r="B275" s="103" t="s">
        <v>14</v>
      </c>
      <c r="C275" s="103"/>
      <c r="D275" s="103" t="s">
        <v>174</v>
      </c>
      <c r="E275" s="103">
        <f>E274+G274</f>
        <v>1963</v>
      </c>
      <c r="F275" s="103">
        <f>E275+G275-1</f>
        <v>1963</v>
      </c>
      <c r="G275" s="103">
        <v>1</v>
      </c>
      <c r="H275" s="102" t="s">
        <v>522</v>
      </c>
      <c r="I275" s="148"/>
      <c r="J275" s="152"/>
      <c r="Q275" s="154"/>
    </row>
    <row r="276" spans="1:17" s="27" customFormat="1" ht="16.5" customHeight="1" x14ac:dyDescent="0.2">
      <c r="A276" s="103" t="s">
        <v>14</v>
      </c>
      <c r="B276" s="103" t="s">
        <v>14</v>
      </c>
      <c r="C276" s="103"/>
      <c r="D276" s="103" t="s">
        <v>174</v>
      </c>
      <c r="E276" s="103">
        <f>E275+G275</f>
        <v>1964</v>
      </c>
      <c r="F276" s="103">
        <f>E276+G276-1</f>
        <v>1964</v>
      </c>
      <c r="G276" s="103">
        <v>1</v>
      </c>
      <c r="H276" s="102" t="s">
        <v>523</v>
      </c>
      <c r="I276" s="148"/>
      <c r="J276" s="152"/>
      <c r="Q276" s="154"/>
    </row>
    <row r="277" spans="1:17" s="27" customFormat="1" x14ac:dyDescent="0.2">
      <c r="A277" s="103"/>
      <c r="B277" s="103"/>
      <c r="C277" s="103"/>
      <c r="D277" s="103"/>
      <c r="E277" s="103">
        <f>E276+G276</f>
        <v>1965</v>
      </c>
      <c r="F277" s="103">
        <f>E277+G277-1</f>
        <v>1969</v>
      </c>
      <c r="G277" s="103">
        <v>5</v>
      </c>
      <c r="H277" s="102" t="s">
        <v>271</v>
      </c>
      <c r="I277" s="101"/>
      <c r="J277" s="104"/>
    </row>
    <row r="278" spans="1:17" s="27" customFormat="1" x14ac:dyDescent="0.2">
      <c r="A278" s="103"/>
      <c r="B278" s="103"/>
      <c r="C278" s="103"/>
      <c r="D278" s="103"/>
      <c r="E278" s="103"/>
      <c r="F278" s="103"/>
      <c r="G278" s="103"/>
      <c r="H278" s="118" t="s">
        <v>598</v>
      </c>
      <c r="I278" s="101"/>
      <c r="J278" s="104"/>
    </row>
    <row r="279" spans="1:17" s="27" customFormat="1" ht="22.5" customHeight="1" x14ac:dyDescent="0.2">
      <c r="A279" s="103" t="s">
        <v>13</v>
      </c>
      <c r="B279" s="103" t="s">
        <v>13</v>
      </c>
      <c r="C279" s="103" t="s">
        <v>478</v>
      </c>
      <c r="D279" s="103" t="s">
        <v>174</v>
      </c>
      <c r="E279" s="103">
        <f>E277+G277</f>
        <v>1970</v>
      </c>
      <c r="F279" s="103">
        <f>E279+G279-1</f>
        <v>1970</v>
      </c>
      <c r="G279" s="103">
        <v>1</v>
      </c>
      <c r="H279" s="102" t="s">
        <v>594</v>
      </c>
      <c r="I279" s="148" t="s">
        <v>333</v>
      </c>
      <c r="J279" s="148" t="s">
        <v>616</v>
      </c>
    </row>
    <row r="280" spans="1:17" s="27" customFormat="1" ht="22.5" customHeight="1" x14ac:dyDescent="0.2">
      <c r="A280" s="103" t="s">
        <v>13</v>
      </c>
      <c r="B280" s="103" t="s">
        <v>13</v>
      </c>
      <c r="C280" s="103" t="s">
        <v>478</v>
      </c>
      <c r="D280" s="103" t="s">
        <v>174</v>
      </c>
      <c r="E280" s="103">
        <f>E279+G279</f>
        <v>1971</v>
      </c>
      <c r="F280" s="103">
        <f>E280+G280-1</f>
        <v>1971</v>
      </c>
      <c r="G280" s="103">
        <v>1</v>
      </c>
      <c r="H280" s="102" t="s">
        <v>595</v>
      </c>
      <c r="I280" s="148"/>
      <c r="J280" s="152"/>
    </row>
    <row r="281" spans="1:17" s="27" customFormat="1" ht="22.5" customHeight="1" x14ac:dyDescent="0.2">
      <c r="A281" s="103" t="s">
        <v>13</v>
      </c>
      <c r="B281" s="103" t="s">
        <v>13</v>
      </c>
      <c r="C281" s="103" t="s">
        <v>478</v>
      </c>
      <c r="D281" s="103" t="s">
        <v>174</v>
      </c>
      <c r="E281" s="103">
        <f>E280+G280</f>
        <v>1972</v>
      </c>
      <c r="F281" s="103">
        <f>E281+G281-1</f>
        <v>1972</v>
      </c>
      <c r="G281" s="103">
        <v>1</v>
      </c>
      <c r="H281" s="102" t="s">
        <v>596</v>
      </c>
      <c r="I281" s="148"/>
      <c r="J281" s="152"/>
    </row>
    <row r="282" spans="1:17" s="27" customFormat="1" ht="22.5" customHeight="1" x14ac:dyDescent="0.2">
      <c r="A282" s="103" t="s">
        <v>13</v>
      </c>
      <c r="B282" s="103" t="s">
        <v>13</v>
      </c>
      <c r="C282" s="103" t="s">
        <v>478</v>
      </c>
      <c r="D282" s="103" t="s">
        <v>174</v>
      </c>
      <c r="E282" s="103">
        <f>E281+G281</f>
        <v>1973</v>
      </c>
      <c r="F282" s="103">
        <f>E282+G282-1</f>
        <v>1973</v>
      </c>
      <c r="G282" s="103">
        <v>1</v>
      </c>
      <c r="H282" s="102" t="s">
        <v>597</v>
      </c>
      <c r="I282" s="148"/>
      <c r="J282" s="152"/>
    </row>
    <row r="283" spans="1:17" s="27" customFormat="1" x14ac:dyDescent="0.2">
      <c r="A283" s="103"/>
      <c r="B283" s="103"/>
      <c r="C283" s="103"/>
      <c r="D283" s="103"/>
      <c r="E283" s="103">
        <f>E282+G282</f>
        <v>1974</v>
      </c>
      <c r="F283" s="103">
        <f>E283+G283-1</f>
        <v>1978</v>
      </c>
      <c r="G283" s="103">
        <v>5</v>
      </c>
      <c r="H283" s="102" t="s">
        <v>271</v>
      </c>
      <c r="I283" s="101"/>
      <c r="J283" s="104"/>
    </row>
    <row r="284" spans="1:17" s="27" customFormat="1" x14ac:dyDescent="0.2">
      <c r="A284" s="103"/>
      <c r="B284" s="103"/>
      <c r="C284" s="103"/>
      <c r="D284" s="103"/>
      <c r="E284" s="103"/>
      <c r="F284" s="103"/>
      <c r="G284" s="103"/>
      <c r="H284" s="118" t="s">
        <v>131</v>
      </c>
      <c r="I284" s="101"/>
      <c r="J284" s="104"/>
    </row>
    <row r="285" spans="1:17" s="27" customFormat="1" ht="22.5" customHeight="1" x14ac:dyDescent="0.2">
      <c r="A285" s="103" t="s">
        <v>13</v>
      </c>
      <c r="B285" s="103" t="s">
        <v>13</v>
      </c>
      <c r="C285" s="103" t="s">
        <v>479</v>
      </c>
      <c r="D285" s="103" t="s">
        <v>174</v>
      </c>
      <c r="E285" s="103">
        <f>E283+G283</f>
        <v>1979</v>
      </c>
      <c r="F285" s="103">
        <f>E285+G285-1</f>
        <v>1979</v>
      </c>
      <c r="G285" s="103">
        <v>1</v>
      </c>
      <c r="H285" s="102" t="s">
        <v>524</v>
      </c>
      <c r="I285" s="148" t="s">
        <v>312</v>
      </c>
      <c r="J285" s="148" t="s">
        <v>617</v>
      </c>
    </row>
    <row r="286" spans="1:17" s="27" customFormat="1" ht="22.5" customHeight="1" x14ac:dyDescent="0.2">
      <c r="A286" s="103" t="s">
        <v>13</v>
      </c>
      <c r="B286" s="103" t="s">
        <v>13</v>
      </c>
      <c r="C286" s="103" t="s">
        <v>479</v>
      </c>
      <c r="D286" s="103" t="s">
        <v>174</v>
      </c>
      <c r="E286" s="103">
        <f t="shared" ref="E286:E292" si="28">E285+G285</f>
        <v>1980</v>
      </c>
      <c r="F286" s="103">
        <f t="shared" ref="F286:F291" si="29">E286+G286-1</f>
        <v>1980</v>
      </c>
      <c r="G286" s="103">
        <v>1</v>
      </c>
      <c r="H286" s="102" t="s">
        <v>438</v>
      </c>
      <c r="I286" s="148"/>
      <c r="J286" s="152"/>
    </row>
    <row r="287" spans="1:17" s="27" customFormat="1" ht="22.5" customHeight="1" x14ac:dyDescent="0.2">
      <c r="A287" s="103" t="s">
        <v>13</v>
      </c>
      <c r="B287" s="103" t="s">
        <v>13</v>
      </c>
      <c r="C287" s="103" t="s">
        <v>479</v>
      </c>
      <c r="D287" s="103" t="s">
        <v>174</v>
      </c>
      <c r="E287" s="103">
        <f t="shared" si="28"/>
        <v>1981</v>
      </c>
      <c r="F287" s="103">
        <f t="shared" si="29"/>
        <v>1981</v>
      </c>
      <c r="G287" s="103">
        <v>1</v>
      </c>
      <c r="H287" s="102" t="s">
        <v>439</v>
      </c>
      <c r="I287" s="148"/>
      <c r="J287" s="152"/>
    </row>
    <row r="288" spans="1:17" s="27" customFormat="1" ht="22.5" customHeight="1" x14ac:dyDescent="0.2">
      <c r="A288" s="103" t="s">
        <v>13</v>
      </c>
      <c r="B288" s="103" t="s">
        <v>13</v>
      </c>
      <c r="C288" s="103" t="s">
        <v>479</v>
      </c>
      <c r="D288" s="103" t="s">
        <v>174</v>
      </c>
      <c r="E288" s="103">
        <f t="shared" si="28"/>
        <v>1982</v>
      </c>
      <c r="F288" s="103">
        <f t="shared" si="29"/>
        <v>1982</v>
      </c>
      <c r="G288" s="103">
        <v>1</v>
      </c>
      <c r="H288" s="102" t="s">
        <v>440</v>
      </c>
      <c r="I288" s="148"/>
      <c r="J288" s="152"/>
    </row>
    <row r="289" spans="1:10" s="27" customFormat="1" x14ac:dyDescent="0.2">
      <c r="A289" s="103"/>
      <c r="B289" s="103"/>
      <c r="C289" s="103"/>
      <c r="D289" s="103"/>
      <c r="E289" s="103">
        <f t="shared" si="28"/>
        <v>1983</v>
      </c>
      <c r="F289" s="103">
        <f t="shared" si="29"/>
        <v>1987</v>
      </c>
      <c r="G289" s="103">
        <v>5</v>
      </c>
      <c r="H289" s="105" t="s">
        <v>271</v>
      </c>
      <c r="I289" s="101"/>
      <c r="J289" s="101"/>
    </row>
    <row r="290" spans="1:10" s="27" customFormat="1" ht="191.25" x14ac:dyDescent="0.2">
      <c r="A290" s="103" t="s">
        <v>13</v>
      </c>
      <c r="B290" s="103" t="s">
        <v>13</v>
      </c>
      <c r="C290" s="103"/>
      <c r="D290" s="103" t="s">
        <v>174</v>
      </c>
      <c r="E290" s="103">
        <f t="shared" si="28"/>
        <v>1988</v>
      </c>
      <c r="F290" s="103">
        <f t="shared" si="29"/>
        <v>1989</v>
      </c>
      <c r="G290" s="103">
        <v>2</v>
      </c>
      <c r="H290" s="102" t="s">
        <v>35</v>
      </c>
      <c r="I290" s="101" t="s">
        <v>534</v>
      </c>
      <c r="J290" s="101" t="s">
        <v>551</v>
      </c>
    </row>
    <row r="291" spans="1:10" s="27" customFormat="1" ht="76.5" x14ac:dyDescent="0.2">
      <c r="A291" s="103" t="s">
        <v>13</v>
      </c>
      <c r="B291" s="103" t="s">
        <v>13</v>
      </c>
      <c r="C291" s="103"/>
      <c r="D291" s="103" t="s">
        <v>174</v>
      </c>
      <c r="E291" s="103">
        <f t="shared" si="28"/>
        <v>1990</v>
      </c>
      <c r="F291" s="103">
        <f t="shared" si="29"/>
        <v>1990</v>
      </c>
      <c r="G291" s="103">
        <v>1</v>
      </c>
      <c r="H291" s="102" t="s">
        <v>287</v>
      </c>
      <c r="I291" s="51" t="s">
        <v>288</v>
      </c>
      <c r="J291" s="101" t="s">
        <v>402</v>
      </c>
    </row>
    <row r="292" spans="1:10" s="27" customFormat="1" x14ac:dyDescent="0.2">
      <c r="A292" s="103"/>
      <c r="B292" s="103"/>
      <c r="C292" s="103"/>
      <c r="D292" s="103"/>
      <c r="E292" s="103">
        <f t="shared" si="28"/>
        <v>1991</v>
      </c>
      <c r="F292" s="103">
        <f>E292+G292-1</f>
        <v>1995</v>
      </c>
      <c r="G292" s="103">
        <v>5</v>
      </c>
      <c r="H292" s="102" t="s">
        <v>271</v>
      </c>
      <c r="I292" s="51"/>
      <c r="J292" s="101"/>
    </row>
    <row r="293" spans="1:10" s="31" customFormat="1" x14ac:dyDescent="0.2">
      <c r="A293" s="103"/>
      <c r="B293" s="103"/>
      <c r="C293" s="103"/>
      <c r="D293" s="103"/>
      <c r="E293" s="103"/>
      <c r="F293" s="103"/>
      <c r="G293" s="103"/>
      <c r="H293" s="118" t="s">
        <v>22</v>
      </c>
      <c r="I293" s="101"/>
      <c r="J293" s="104"/>
    </row>
    <row r="294" spans="1:10" s="31" customFormat="1" x14ac:dyDescent="0.2">
      <c r="A294" s="103" t="s">
        <v>13</v>
      </c>
      <c r="B294" s="103" t="s">
        <v>13</v>
      </c>
      <c r="C294" s="103" t="s">
        <v>151</v>
      </c>
      <c r="D294" s="103" t="s">
        <v>174</v>
      </c>
      <c r="E294" s="103">
        <f>E292+G292</f>
        <v>1996</v>
      </c>
      <c r="F294" s="103">
        <f>E294+G294-1</f>
        <v>1996</v>
      </c>
      <c r="G294" s="103">
        <v>1</v>
      </c>
      <c r="H294" s="102" t="s">
        <v>132</v>
      </c>
      <c r="I294" s="148" t="s">
        <v>342</v>
      </c>
      <c r="J294" s="148" t="s">
        <v>635</v>
      </c>
    </row>
    <row r="295" spans="1:10" s="31" customFormat="1" x14ac:dyDescent="0.2">
      <c r="A295" s="103"/>
      <c r="B295" s="103"/>
      <c r="C295" s="103"/>
      <c r="D295" s="103"/>
      <c r="E295" s="103">
        <f>E294+G294</f>
        <v>1997</v>
      </c>
      <c r="F295" s="103">
        <f t="shared" ref="F295:F307" si="30">E295+G295-1</f>
        <v>1998</v>
      </c>
      <c r="G295" s="103">
        <v>2</v>
      </c>
      <c r="H295" s="102" t="s">
        <v>271</v>
      </c>
      <c r="I295" s="148"/>
      <c r="J295" s="148"/>
    </row>
    <row r="296" spans="1:10" s="31" customFormat="1" x14ac:dyDescent="0.2">
      <c r="A296" s="103" t="s">
        <v>13</v>
      </c>
      <c r="B296" s="103" t="s">
        <v>13</v>
      </c>
      <c r="C296" s="103"/>
      <c r="D296" s="103" t="s">
        <v>174</v>
      </c>
      <c r="E296" s="103">
        <f t="shared" ref="E296:E307" si="31">E295+G295</f>
        <v>1999</v>
      </c>
      <c r="F296" s="103">
        <f t="shared" si="30"/>
        <v>1999</v>
      </c>
      <c r="G296" s="103">
        <v>1</v>
      </c>
      <c r="H296" s="102" t="s">
        <v>133</v>
      </c>
      <c r="I296" s="148"/>
      <c r="J296" s="148"/>
    </row>
    <row r="297" spans="1:10" s="31" customFormat="1" x14ac:dyDescent="0.2">
      <c r="A297" s="103" t="s">
        <v>14</v>
      </c>
      <c r="B297" s="103" t="s">
        <v>14</v>
      </c>
      <c r="C297" s="103"/>
      <c r="D297" s="103" t="s">
        <v>174</v>
      </c>
      <c r="E297" s="103">
        <f t="shared" si="31"/>
        <v>2000</v>
      </c>
      <c r="F297" s="103">
        <f t="shared" si="30"/>
        <v>2000</v>
      </c>
      <c r="G297" s="103">
        <v>1</v>
      </c>
      <c r="H297" s="102" t="s">
        <v>477</v>
      </c>
      <c r="I297" s="148"/>
      <c r="J297" s="148"/>
    </row>
    <row r="298" spans="1:10" s="31" customFormat="1" x14ac:dyDescent="0.2">
      <c r="A298" s="103" t="s">
        <v>13</v>
      </c>
      <c r="B298" s="103" t="s">
        <v>13</v>
      </c>
      <c r="C298" s="103"/>
      <c r="D298" s="103" t="s">
        <v>174</v>
      </c>
      <c r="E298" s="103">
        <f t="shared" si="31"/>
        <v>2001</v>
      </c>
      <c r="F298" s="103">
        <f t="shared" si="30"/>
        <v>2001</v>
      </c>
      <c r="G298" s="103">
        <v>1</v>
      </c>
      <c r="H298" s="102" t="s">
        <v>134</v>
      </c>
      <c r="I298" s="148"/>
      <c r="J298" s="148"/>
    </row>
    <row r="299" spans="1:10" s="31" customFormat="1" x14ac:dyDescent="0.2">
      <c r="A299" s="103" t="s">
        <v>14</v>
      </c>
      <c r="B299" s="103" t="s">
        <v>14</v>
      </c>
      <c r="C299" s="103"/>
      <c r="D299" s="103" t="s">
        <v>174</v>
      </c>
      <c r="E299" s="103">
        <f t="shared" si="31"/>
        <v>2002</v>
      </c>
      <c r="F299" s="103">
        <f t="shared" si="30"/>
        <v>2002</v>
      </c>
      <c r="G299" s="103">
        <v>1</v>
      </c>
      <c r="H299" s="102" t="s">
        <v>135</v>
      </c>
      <c r="I299" s="148"/>
      <c r="J299" s="148"/>
    </row>
    <row r="300" spans="1:10" s="31" customFormat="1" x14ac:dyDescent="0.2">
      <c r="A300" s="103" t="s">
        <v>14</v>
      </c>
      <c r="B300" s="103" t="s">
        <v>14</v>
      </c>
      <c r="C300" s="103"/>
      <c r="D300" s="103" t="s">
        <v>174</v>
      </c>
      <c r="E300" s="103">
        <f t="shared" si="31"/>
        <v>2003</v>
      </c>
      <c r="F300" s="103">
        <f t="shared" si="30"/>
        <v>2003</v>
      </c>
      <c r="G300" s="103">
        <v>1</v>
      </c>
      <c r="H300" s="102" t="s">
        <v>136</v>
      </c>
      <c r="I300" s="148"/>
      <c r="J300" s="148"/>
    </row>
    <row r="301" spans="1:10" s="31" customFormat="1" x14ac:dyDescent="0.2">
      <c r="A301" s="103" t="s">
        <v>14</v>
      </c>
      <c r="B301" s="103" t="s">
        <v>14</v>
      </c>
      <c r="C301" s="103"/>
      <c r="D301" s="103" t="s">
        <v>174</v>
      </c>
      <c r="E301" s="103">
        <f t="shared" si="31"/>
        <v>2004</v>
      </c>
      <c r="F301" s="103">
        <f t="shared" si="30"/>
        <v>2004</v>
      </c>
      <c r="G301" s="103">
        <v>1</v>
      </c>
      <c r="H301" s="102" t="s">
        <v>137</v>
      </c>
      <c r="I301" s="148"/>
      <c r="J301" s="148"/>
    </row>
    <row r="302" spans="1:10" s="31" customFormat="1" x14ac:dyDescent="0.2">
      <c r="A302" s="103" t="s">
        <v>14</v>
      </c>
      <c r="B302" s="103" t="s">
        <v>14</v>
      </c>
      <c r="C302" s="103"/>
      <c r="D302" s="103" t="s">
        <v>174</v>
      </c>
      <c r="E302" s="103">
        <f t="shared" si="31"/>
        <v>2005</v>
      </c>
      <c r="F302" s="103">
        <f t="shared" si="30"/>
        <v>2005</v>
      </c>
      <c r="G302" s="103">
        <v>1</v>
      </c>
      <c r="H302" s="102" t="s">
        <v>138</v>
      </c>
      <c r="I302" s="148"/>
      <c r="J302" s="148"/>
    </row>
    <row r="303" spans="1:10" s="31" customFormat="1" x14ac:dyDescent="0.2">
      <c r="A303" s="103"/>
      <c r="B303" s="103"/>
      <c r="C303" s="103"/>
      <c r="D303" s="103"/>
      <c r="E303" s="103">
        <f t="shared" si="31"/>
        <v>2006</v>
      </c>
      <c r="F303" s="103">
        <f t="shared" si="30"/>
        <v>2006</v>
      </c>
      <c r="G303" s="103">
        <v>1</v>
      </c>
      <c r="H303" s="102" t="s">
        <v>271</v>
      </c>
      <c r="I303" s="148"/>
      <c r="J303" s="148"/>
    </row>
    <row r="304" spans="1:10" s="31" customFormat="1" x14ac:dyDescent="0.2">
      <c r="A304" s="103" t="s">
        <v>14</v>
      </c>
      <c r="B304" s="103" t="s">
        <v>14</v>
      </c>
      <c r="C304" s="103"/>
      <c r="D304" s="103" t="s">
        <v>174</v>
      </c>
      <c r="E304" s="103">
        <f t="shared" si="31"/>
        <v>2007</v>
      </c>
      <c r="F304" s="103">
        <f t="shared" si="30"/>
        <v>2007</v>
      </c>
      <c r="G304" s="103">
        <v>1</v>
      </c>
      <c r="H304" s="102" t="s">
        <v>139</v>
      </c>
      <c r="I304" s="148"/>
      <c r="J304" s="148"/>
    </row>
    <row r="305" spans="1:12" s="31" customFormat="1" x14ac:dyDescent="0.2">
      <c r="A305" s="103" t="s">
        <v>14</v>
      </c>
      <c r="B305" s="103" t="s">
        <v>14</v>
      </c>
      <c r="C305" s="103"/>
      <c r="D305" s="103" t="s">
        <v>174</v>
      </c>
      <c r="E305" s="103">
        <f t="shared" si="31"/>
        <v>2008</v>
      </c>
      <c r="F305" s="103">
        <f t="shared" si="30"/>
        <v>2008</v>
      </c>
      <c r="G305" s="103">
        <v>1</v>
      </c>
      <c r="H305" s="102" t="s">
        <v>542</v>
      </c>
      <c r="I305" s="148"/>
      <c r="J305" s="148"/>
    </row>
    <row r="306" spans="1:12" s="31" customFormat="1" x14ac:dyDescent="0.2">
      <c r="A306" s="103" t="s">
        <v>14</v>
      </c>
      <c r="B306" s="103" t="s">
        <v>14</v>
      </c>
      <c r="C306" s="103"/>
      <c r="D306" s="103" t="s">
        <v>174</v>
      </c>
      <c r="E306" s="103">
        <f t="shared" si="31"/>
        <v>2009</v>
      </c>
      <c r="F306" s="103">
        <f t="shared" si="30"/>
        <v>2009</v>
      </c>
      <c r="G306" s="103">
        <v>1</v>
      </c>
      <c r="H306" s="102" t="s">
        <v>140</v>
      </c>
      <c r="I306" s="148"/>
      <c r="J306" s="148"/>
    </row>
    <row r="307" spans="1:12" s="31" customFormat="1" x14ac:dyDescent="0.2">
      <c r="A307" s="103"/>
      <c r="B307" s="103"/>
      <c r="C307" s="103"/>
      <c r="D307" s="103"/>
      <c r="E307" s="103">
        <f t="shared" si="31"/>
        <v>2010</v>
      </c>
      <c r="F307" s="103">
        <f t="shared" si="30"/>
        <v>2014</v>
      </c>
      <c r="G307" s="103">
        <v>5</v>
      </c>
      <c r="H307" s="102" t="s">
        <v>271</v>
      </c>
      <c r="I307" s="101"/>
      <c r="J307" s="101"/>
    </row>
    <row r="308" spans="1:12" s="31" customFormat="1" x14ac:dyDescent="0.2">
      <c r="A308" s="103"/>
      <c r="B308" s="103"/>
      <c r="C308" s="103"/>
      <c r="D308" s="103"/>
      <c r="E308" s="103"/>
      <c r="F308" s="103"/>
      <c r="G308" s="103"/>
      <c r="H308" s="118" t="s">
        <v>1</v>
      </c>
      <c r="I308" s="101"/>
      <c r="J308" s="104"/>
    </row>
    <row r="309" spans="1:12" s="31" customFormat="1" ht="63.75" x14ac:dyDescent="0.2">
      <c r="A309" s="103" t="s">
        <v>14</v>
      </c>
      <c r="B309" s="103" t="s">
        <v>14</v>
      </c>
      <c r="C309" s="131" t="s">
        <v>473</v>
      </c>
      <c r="D309" s="103" t="s">
        <v>168</v>
      </c>
      <c r="E309" s="103">
        <f>E307+G307</f>
        <v>2015</v>
      </c>
      <c r="F309" s="103">
        <f t="shared" ref="F309:F317" si="32">E309+G309-1</f>
        <v>2015</v>
      </c>
      <c r="G309" s="103">
        <v>1</v>
      </c>
      <c r="H309" s="102" t="s">
        <v>543</v>
      </c>
      <c r="I309" s="101" t="s">
        <v>343</v>
      </c>
      <c r="J309" s="101" t="s">
        <v>623</v>
      </c>
    </row>
    <row r="310" spans="1:12" s="31" customFormat="1" ht="76.5" x14ac:dyDescent="0.2">
      <c r="A310" s="103" t="s">
        <v>14</v>
      </c>
      <c r="B310" s="103" t="s">
        <v>14</v>
      </c>
      <c r="C310" s="131" t="s">
        <v>473</v>
      </c>
      <c r="D310" s="103" t="s">
        <v>168</v>
      </c>
      <c r="E310" s="103">
        <f t="shared" ref="E310:E316" si="33">E309+G309</f>
        <v>2016</v>
      </c>
      <c r="F310" s="103">
        <f t="shared" si="32"/>
        <v>2016</v>
      </c>
      <c r="G310" s="103">
        <v>1</v>
      </c>
      <c r="H310" s="102" t="s">
        <v>544</v>
      </c>
      <c r="I310" s="101" t="s">
        <v>343</v>
      </c>
      <c r="J310" s="101" t="s">
        <v>622</v>
      </c>
    </row>
    <row r="311" spans="1:12" s="31" customFormat="1" ht="63.75" x14ac:dyDescent="0.2">
      <c r="A311" s="103" t="s">
        <v>14</v>
      </c>
      <c r="B311" s="103" t="s">
        <v>14</v>
      </c>
      <c r="C311" s="103"/>
      <c r="D311" s="103" t="s">
        <v>174</v>
      </c>
      <c r="E311" s="103">
        <f t="shared" si="33"/>
        <v>2017</v>
      </c>
      <c r="F311" s="103">
        <f t="shared" si="32"/>
        <v>2017</v>
      </c>
      <c r="G311" s="103">
        <v>1</v>
      </c>
      <c r="H311" s="89" t="s">
        <v>545</v>
      </c>
      <c r="I311" s="101" t="s">
        <v>343</v>
      </c>
      <c r="J311" s="101" t="s">
        <v>624</v>
      </c>
    </row>
    <row r="312" spans="1:12" s="31" customFormat="1" ht="63.75" x14ac:dyDescent="0.2">
      <c r="A312" s="103" t="s">
        <v>14</v>
      </c>
      <c r="B312" s="103" t="s">
        <v>14</v>
      </c>
      <c r="C312" s="103"/>
      <c r="D312" s="103" t="s">
        <v>174</v>
      </c>
      <c r="E312" s="103">
        <f t="shared" si="33"/>
        <v>2018</v>
      </c>
      <c r="F312" s="103">
        <f t="shared" si="32"/>
        <v>2018</v>
      </c>
      <c r="G312" s="103">
        <v>1</v>
      </c>
      <c r="H312" s="89" t="s">
        <v>546</v>
      </c>
      <c r="I312" s="101" t="s">
        <v>343</v>
      </c>
      <c r="J312" s="101" t="s">
        <v>625</v>
      </c>
    </row>
    <row r="313" spans="1:12" s="31" customFormat="1" ht="63.75" x14ac:dyDescent="0.2">
      <c r="A313" s="103" t="s">
        <v>14</v>
      </c>
      <c r="B313" s="103" t="s">
        <v>14</v>
      </c>
      <c r="C313" s="131" t="s">
        <v>473</v>
      </c>
      <c r="D313" s="103" t="s">
        <v>174</v>
      </c>
      <c r="E313" s="103">
        <f t="shared" si="33"/>
        <v>2019</v>
      </c>
      <c r="F313" s="103">
        <f t="shared" si="32"/>
        <v>2019</v>
      </c>
      <c r="G313" s="103">
        <v>1</v>
      </c>
      <c r="H313" s="102" t="s">
        <v>141</v>
      </c>
      <c r="I313" s="101" t="s">
        <v>343</v>
      </c>
      <c r="J313" s="101" t="s">
        <v>626</v>
      </c>
    </row>
    <row r="314" spans="1:12" s="31" customFormat="1" ht="51" x14ac:dyDescent="0.2">
      <c r="A314" s="103" t="s">
        <v>13</v>
      </c>
      <c r="B314" s="103" t="s">
        <v>13</v>
      </c>
      <c r="C314" s="103"/>
      <c r="D314" s="103" t="s">
        <v>168</v>
      </c>
      <c r="E314" s="103">
        <f t="shared" si="33"/>
        <v>2020</v>
      </c>
      <c r="F314" s="103">
        <f t="shared" si="32"/>
        <v>2020</v>
      </c>
      <c r="G314" s="103">
        <v>1</v>
      </c>
      <c r="H314" s="102" t="s">
        <v>537</v>
      </c>
      <c r="I314" s="107" t="s">
        <v>538</v>
      </c>
      <c r="J314" s="101" t="s">
        <v>481</v>
      </c>
    </row>
    <row r="315" spans="1:12" s="31" customFormat="1" x14ac:dyDescent="0.2">
      <c r="A315" s="52"/>
      <c r="B315" s="52"/>
      <c r="C315" s="103"/>
      <c r="D315" s="103" t="s">
        <v>168</v>
      </c>
      <c r="E315" s="103">
        <f>E314+G314</f>
        <v>2021</v>
      </c>
      <c r="F315" s="103">
        <f t="shared" si="32"/>
        <v>2029</v>
      </c>
      <c r="G315" s="143">
        <v>9</v>
      </c>
      <c r="H315" s="102" t="s">
        <v>271</v>
      </c>
      <c r="I315" s="94"/>
      <c r="J315" s="53"/>
    </row>
    <row r="316" spans="1:12" s="28" customFormat="1" ht="38.25" x14ac:dyDescent="0.2">
      <c r="A316" s="103" t="s">
        <v>14</v>
      </c>
      <c r="B316" s="103" t="s">
        <v>13</v>
      </c>
      <c r="C316" s="102"/>
      <c r="D316" s="103" t="s">
        <v>168</v>
      </c>
      <c r="E316" s="103">
        <f t="shared" si="33"/>
        <v>2030</v>
      </c>
      <c r="F316" s="103">
        <f t="shared" si="32"/>
        <v>2030</v>
      </c>
      <c r="G316" s="103">
        <v>1</v>
      </c>
      <c r="H316" s="102" t="s">
        <v>659</v>
      </c>
      <c r="I316" s="101" t="s">
        <v>664</v>
      </c>
      <c r="J316" s="101" t="s">
        <v>481</v>
      </c>
      <c r="K316" s="27"/>
      <c r="L316" s="27"/>
    </row>
    <row r="317" spans="1:12" s="90" customFormat="1" x14ac:dyDescent="0.2">
      <c r="A317" s="103"/>
      <c r="B317" s="103"/>
      <c r="C317" s="102"/>
      <c r="D317" s="102"/>
      <c r="E317" s="103">
        <f>E316+G316</f>
        <v>2031</v>
      </c>
      <c r="F317" s="103">
        <f t="shared" si="32"/>
        <v>2040</v>
      </c>
      <c r="G317" s="103">
        <v>10</v>
      </c>
      <c r="H317" s="102" t="s">
        <v>271</v>
      </c>
      <c r="I317" s="101"/>
      <c r="J317" s="104"/>
      <c r="K317" s="91"/>
      <c r="L317" s="91"/>
    </row>
    <row r="318" spans="1:12" s="28" customFormat="1" x14ac:dyDescent="0.2">
      <c r="A318" s="103"/>
      <c r="B318" s="103"/>
      <c r="C318" s="102"/>
      <c r="D318" s="102"/>
      <c r="E318" s="103"/>
      <c r="F318" s="103"/>
      <c r="G318" s="103"/>
      <c r="H318" s="118" t="s">
        <v>142</v>
      </c>
      <c r="I318" s="101"/>
      <c r="J318" s="104"/>
      <c r="K318" s="27"/>
      <c r="L318" s="27"/>
    </row>
    <row r="319" spans="1:12" s="27" customFormat="1" x14ac:dyDescent="0.2">
      <c r="A319" s="103"/>
      <c r="B319" s="103"/>
      <c r="C319" s="103"/>
      <c r="D319" s="103"/>
      <c r="E319" s="103"/>
      <c r="F319" s="103"/>
      <c r="G319" s="103"/>
      <c r="H319" s="118" t="s">
        <v>2</v>
      </c>
      <c r="I319" s="50"/>
      <c r="J319" s="104"/>
    </row>
    <row r="320" spans="1:12" s="31" customFormat="1" ht="51" x14ac:dyDescent="0.2">
      <c r="A320" s="103" t="s">
        <v>14</v>
      </c>
      <c r="B320" s="103" t="s">
        <v>14</v>
      </c>
      <c r="C320" s="103"/>
      <c r="D320" s="103" t="s">
        <v>174</v>
      </c>
      <c r="E320" s="103">
        <f>E317+G317</f>
        <v>2041</v>
      </c>
      <c r="F320" s="103">
        <f>E320+G320-1</f>
        <v>2041</v>
      </c>
      <c r="G320" s="103">
        <v>1</v>
      </c>
      <c r="H320" s="102" t="s">
        <v>548</v>
      </c>
      <c r="I320" s="101" t="s">
        <v>343</v>
      </c>
      <c r="J320" s="101" t="s">
        <v>487</v>
      </c>
    </row>
    <row r="321" spans="1:17" s="28" customFormat="1" x14ac:dyDescent="0.2">
      <c r="A321" s="103"/>
      <c r="B321" s="103"/>
      <c r="C321" s="102"/>
      <c r="D321" s="102"/>
      <c r="E321" s="103">
        <f>E320+G320</f>
        <v>2042</v>
      </c>
      <c r="F321" s="103">
        <f>E321+G321-1</f>
        <v>2043</v>
      </c>
      <c r="G321" s="103">
        <v>2</v>
      </c>
      <c r="H321" s="102" t="s">
        <v>271</v>
      </c>
      <c r="I321" s="101"/>
      <c r="J321" s="104"/>
      <c r="K321" s="27"/>
      <c r="L321" s="27"/>
    </row>
    <row r="322" spans="1:17" s="27" customFormat="1" x14ac:dyDescent="0.2">
      <c r="A322" s="103"/>
      <c r="B322" s="103"/>
      <c r="C322" s="103"/>
      <c r="D322" s="103"/>
      <c r="E322" s="103"/>
      <c r="F322" s="103"/>
      <c r="G322" s="103"/>
      <c r="H322" s="118" t="s">
        <v>3</v>
      </c>
      <c r="I322" s="50"/>
      <c r="J322" s="104"/>
    </row>
    <row r="323" spans="1:17" s="31" customFormat="1" ht="51" x14ac:dyDescent="0.2">
      <c r="A323" s="103" t="s">
        <v>14</v>
      </c>
      <c r="B323" s="103" t="s">
        <v>14</v>
      </c>
      <c r="C323" s="103"/>
      <c r="D323" s="103" t="s">
        <v>174</v>
      </c>
      <c r="E323" s="103">
        <f>E321+G321</f>
        <v>2044</v>
      </c>
      <c r="F323" s="103">
        <f>E323+G323-1</f>
        <v>2044</v>
      </c>
      <c r="G323" s="103">
        <v>1</v>
      </c>
      <c r="H323" s="102" t="s">
        <v>547</v>
      </c>
      <c r="I323" s="101" t="s">
        <v>343</v>
      </c>
      <c r="J323" s="101" t="s">
        <v>490</v>
      </c>
    </row>
    <row r="324" spans="1:17" s="28" customFormat="1" x14ac:dyDescent="0.2">
      <c r="A324" s="103"/>
      <c r="B324" s="103"/>
      <c r="C324" s="102"/>
      <c r="D324" s="102"/>
      <c r="E324" s="103">
        <f>E323+G323</f>
        <v>2045</v>
      </c>
      <c r="F324" s="103">
        <f>E324+G324-1</f>
        <v>2046</v>
      </c>
      <c r="G324" s="103">
        <v>2</v>
      </c>
      <c r="H324" s="102" t="s">
        <v>271</v>
      </c>
      <c r="I324" s="101"/>
      <c r="J324" s="104"/>
      <c r="K324" s="27"/>
      <c r="L324" s="27"/>
    </row>
    <row r="325" spans="1:17" s="27" customFormat="1" x14ac:dyDescent="0.2">
      <c r="A325" s="103"/>
      <c r="B325" s="103"/>
      <c r="C325" s="103"/>
      <c r="D325" s="103"/>
      <c r="E325" s="103"/>
      <c r="F325" s="103"/>
      <c r="G325" s="103"/>
      <c r="H325" s="118" t="s">
        <v>4</v>
      </c>
      <c r="I325" s="50"/>
      <c r="J325" s="104"/>
    </row>
    <row r="326" spans="1:17" s="31" customFormat="1" ht="51" x14ac:dyDescent="0.2">
      <c r="A326" s="103" t="s">
        <v>14</v>
      </c>
      <c r="B326" s="103" t="s">
        <v>14</v>
      </c>
      <c r="C326" s="103"/>
      <c r="D326" s="103" t="s">
        <v>174</v>
      </c>
      <c r="E326" s="103">
        <f>E324+G324</f>
        <v>2047</v>
      </c>
      <c r="F326" s="103">
        <f>E326+G326-1</f>
        <v>2047</v>
      </c>
      <c r="G326" s="103">
        <v>1</v>
      </c>
      <c r="H326" s="102" t="s">
        <v>549</v>
      </c>
      <c r="I326" s="101" t="s">
        <v>343</v>
      </c>
      <c r="J326" s="101" t="s">
        <v>491</v>
      </c>
    </row>
    <row r="327" spans="1:17" s="28" customFormat="1" x14ac:dyDescent="0.2">
      <c r="A327" s="103"/>
      <c r="B327" s="103"/>
      <c r="C327" s="102"/>
      <c r="D327" s="102"/>
      <c r="E327" s="103">
        <f>E326+G326</f>
        <v>2048</v>
      </c>
      <c r="F327" s="103">
        <f>E327+G327-1</f>
        <v>2049</v>
      </c>
      <c r="G327" s="103">
        <v>2</v>
      </c>
      <c r="H327" s="102" t="s">
        <v>271</v>
      </c>
      <c r="I327" s="101"/>
      <c r="J327" s="104"/>
      <c r="K327" s="27"/>
      <c r="L327" s="27"/>
    </row>
    <row r="328" spans="1:17" s="27" customFormat="1" x14ac:dyDescent="0.2">
      <c r="A328" s="103"/>
      <c r="B328" s="103"/>
      <c r="C328" s="103"/>
      <c r="D328" s="103"/>
      <c r="E328" s="103"/>
      <c r="F328" s="103"/>
      <c r="G328" s="103"/>
      <c r="H328" s="118" t="s">
        <v>5</v>
      </c>
      <c r="I328" s="50"/>
      <c r="J328" s="104"/>
    </row>
    <row r="329" spans="1:17" s="31" customFormat="1" ht="51" x14ac:dyDescent="0.2">
      <c r="A329" s="103" t="s">
        <v>14</v>
      </c>
      <c r="B329" s="103" t="s">
        <v>14</v>
      </c>
      <c r="C329" s="103"/>
      <c r="D329" s="103" t="s">
        <v>174</v>
      </c>
      <c r="E329" s="103">
        <f>E327+G327</f>
        <v>2050</v>
      </c>
      <c r="F329" s="103">
        <f>E329+G329-1</f>
        <v>2050</v>
      </c>
      <c r="G329" s="103">
        <v>1</v>
      </c>
      <c r="H329" s="102" t="s">
        <v>550</v>
      </c>
      <c r="I329" s="101" t="s">
        <v>343</v>
      </c>
      <c r="J329" s="101" t="s">
        <v>492</v>
      </c>
    </row>
    <row r="330" spans="1:17" s="31" customFormat="1" x14ac:dyDescent="0.2">
      <c r="A330" s="103"/>
      <c r="B330" s="103"/>
      <c r="C330" s="103"/>
      <c r="D330" s="103"/>
      <c r="E330" s="103"/>
      <c r="F330" s="103"/>
      <c r="G330" s="103"/>
      <c r="H330" s="117" t="s">
        <v>153</v>
      </c>
      <c r="I330" s="101"/>
      <c r="J330" s="101"/>
    </row>
    <row r="331" spans="1:17" s="27" customFormat="1" ht="35.25" customHeight="1" x14ac:dyDescent="0.2">
      <c r="A331" s="103" t="s">
        <v>13</v>
      </c>
      <c r="B331" s="103" t="s">
        <v>13</v>
      </c>
      <c r="C331" s="131" t="s">
        <v>473</v>
      </c>
      <c r="D331" s="103" t="s">
        <v>174</v>
      </c>
      <c r="E331" s="103">
        <f>E329+G329</f>
        <v>2051</v>
      </c>
      <c r="F331" s="103">
        <f t="shared" ref="F331:F336" si="34">E331+G331-1</f>
        <v>2052</v>
      </c>
      <c r="G331" s="103">
        <v>2</v>
      </c>
      <c r="H331" s="102" t="s">
        <v>441</v>
      </c>
      <c r="I331" s="161" t="s">
        <v>732</v>
      </c>
      <c r="J331" s="161" t="s">
        <v>729</v>
      </c>
      <c r="Q331" s="149"/>
    </row>
    <row r="332" spans="1:17" s="27" customFormat="1" ht="35.25" customHeight="1" x14ac:dyDescent="0.2">
      <c r="A332" s="103" t="s">
        <v>13</v>
      </c>
      <c r="B332" s="103" t="s">
        <v>13</v>
      </c>
      <c r="C332" s="131" t="s">
        <v>473</v>
      </c>
      <c r="D332" s="103" t="s">
        <v>174</v>
      </c>
      <c r="E332" s="103">
        <f>E331+G331</f>
        <v>2053</v>
      </c>
      <c r="F332" s="103">
        <f t="shared" si="34"/>
        <v>2054</v>
      </c>
      <c r="G332" s="103">
        <v>2</v>
      </c>
      <c r="H332" s="102" t="s">
        <v>442</v>
      </c>
      <c r="I332" s="161"/>
      <c r="J332" s="161"/>
      <c r="Q332" s="150"/>
    </row>
    <row r="333" spans="1:17" s="27" customFormat="1" ht="35.25" customHeight="1" x14ac:dyDescent="0.2">
      <c r="A333" s="103" t="s">
        <v>13</v>
      </c>
      <c r="B333" s="103" t="s">
        <v>13</v>
      </c>
      <c r="C333" s="131" t="s">
        <v>473</v>
      </c>
      <c r="D333" s="103" t="s">
        <v>174</v>
      </c>
      <c r="E333" s="103">
        <f>E332+G332</f>
        <v>2055</v>
      </c>
      <c r="F333" s="103">
        <f t="shared" si="34"/>
        <v>2056</v>
      </c>
      <c r="G333" s="103">
        <v>2</v>
      </c>
      <c r="H333" s="102" t="s">
        <v>443</v>
      </c>
      <c r="I333" s="161"/>
      <c r="J333" s="161"/>
      <c r="Q333" s="150"/>
    </row>
    <row r="334" spans="1:17" s="27" customFormat="1" ht="35.25" customHeight="1" x14ac:dyDescent="0.2">
      <c r="A334" s="103" t="s">
        <v>13</v>
      </c>
      <c r="B334" s="103" t="s">
        <v>13</v>
      </c>
      <c r="C334" s="131" t="s">
        <v>473</v>
      </c>
      <c r="D334" s="103" t="s">
        <v>174</v>
      </c>
      <c r="E334" s="103">
        <f>E333+G333</f>
        <v>2057</v>
      </c>
      <c r="F334" s="103">
        <f t="shared" si="34"/>
        <v>2058</v>
      </c>
      <c r="G334" s="103">
        <v>2</v>
      </c>
      <c r="H334" s="102" t="s">
        <v>444</v>
      </c>
      <c r="I334" s="161"/>
      <c r="J334" s="161"/>
      <c r="Q334" s="150"/>
    </row>
    <row r="335" spans="1:17" s="27" customFormat="1" ht="57" customHeight="1" x14ac:dyDescent="0.2">
      <c r="A335" s="103" t="s">
        <v>13</v>
      </c>
      <c r="B335" s="103" t="s">
        <v>13</v>
      </c>
      <c r="C335" s="103"/>
      <c r="D335" s="103" t="s">
        <v>168</v>
      </c>
      <c r="E335" s="103">
        <f>E334+G334</f>
        <v>2059</v>
      </c>
      <c r="F335" s="103">
        <f t="shared" si="34"/>
        <v>2061</v>
      </c>
      <c r="G335" s="103">
        <v>3</v>
      </c>
      <c r="H335" s="102" t="s">
        <v>403</v>
      </c>
      <c r="I335" s="101" t="s">
        <v>317</v>
      </c>
      <c r="J335" s="148" t="s">
        <v>556</v>
      </c>
    </row>
    <row r="336" spans="1:17" s="27" customFormat="1" ht="56.25" customHeight="1" x14ac:dyDescent="0.2">
      <c r="A336" s="103" t="s">
        <v>13</v>
      </c>
      <c r="B336" s="103" t="s">
        <v>13</v>
      </c>
      <c r="C336" s="103"/>
      <c r="D336" s="103" t="s">
        <v>168</v>
      </c>
      <c r="E336" s="103">
        <f>E335+G335</f>
        <v>2062</v>
      </c>
      <c r="F336" s="103">
        <f t="shared" si="34"/>
        <v>2064</v>
      </c>
      <c r="G336" s="103">
        <v>3</v>
      </c>
      <c r="H336" s="72" t="s">
        <v>404</v>
      </c>
      <c r="I336" s="101" t="s">
        <v>318</v>
      </c>
      <c r="J336" s="148"/>
    </row>
    <row r="337" spans="1:12" s="27" customFormat="1" ht="15" x14ac:dyDescent="0.2">
      <c r="A337" s="103" t="s">
        <v>14</v>
      </c>
      <c r="B337" s="103" t="s">
        <v>14</v>
      </c>
      <c r="C337" s="103"/>
      <c r="D337" s="103" t="s">
        <v>174</v>
      </c>
      <c r="E337" s="103">
        <f t="shared" ref="E337:E338" si="35">E336+G336</f>
        <v>2065</v>
      </c>
      <c r="F337" s="103">
        <f t="shared" ref="F337:F339" si="36">E337+G337-1</f>
        <v>2067</v>
      </c>
      <c r="G337" s="103">
        <v>3</v>
      </c>
      <c r="H337" s="102" t="s">
        <v>143</v>
      </c>
      <c r="I337" s="113"/>
      <c r="J337" s="101" t="s">
        <v>25</v>
      </c>
      <c r="K337" s="35"/>
    </row>
    <row r="338" spans="1:12" s="27" customFormat="1" x14ac:dyDescent="0.2">
      <c r="A338" s="137"/>
      <c r="B338" s="137"/>
      <c r="C338" s="137"/>
      <c r="D338" s="137"/>
      <c r="E338" s="103">
        <f t="shared" si="35"/>
        <v>2068</v>
      </c>
      <c r="F338" s="103">
        <f t="shared" si="36"/>
        <v>2079</v>
      </c>
      <c r="G338" s="103">
        <v>12</v>
      </c>
      <c r="H338" s="142" t="s">
        <v>271</v>
      </c>
      <c r="I338" s="141"/>
      <c r="J338" s="140"/>
    </row>
    <row r="339" spans="1:12" s="38" customFormat="1" ht="70.5" customHeight="1" x14ac:dyDescent="0.2">
      <c r="A339" s="103" t="s">
        <v>14</v>
      </c>
      <c r="B339" s="103" t="s">
        <v>14</v>
      </c>
      <c r="C339" s="103"/>
      <c r="D339" s="103" t="s">
        <v>174</v>
      </c>
      <c r="E339" s="103">
        <f>E338+G338</f>
        <v>2080</v>
      </c>
      <c r="F339" s="103">
        <f t="shared" si="36"/>
        <v>2080</v>
      </c>
      <c r="G339" s="103">
        <v>1</v>
      </c>
      <c r="H339" s="105" t="s">
        <v>144</v>
      </c>
      <c r="I339" s="50" t="s">
        <v>344</v>
      </c>
      <c r="J339" s="101" t="s">
        <v>21</v>
      </c>
      <c r="K339" s="37"/>
    </row>
    <row r="340" spans="1:12" ht="76.5" x14ac:dyDescent="0.2">
      <c r="A340" s="103" t="s">
        <v>13</v>
      </c>
      <c r="B340" s="103" t="s">
        <v>13</v>
      </c>
      <c r="C340" s="131" t="s">
        <v>473</v>
      </c>
      <c r="D340" s="103" t="s">
        <v>168</v>
      </c>
      <c r="E340" s="103">
        <f>E339+G339</f>
        <v>2081</v>
      </c>
      <c r="F340" s="103">
        <f>E340+G340-1</f>
        <v>2090</v>
      </c>
      <c r="G340" s="103">
        <v>10</v>
      </c>
      <c r="H340" s="105" t="s">
        <v>405</v>
      </c>
      <c r="I340" s="101" t="s">
        <v>319</v>
      </c>
      <c r="J340" s="101" t="s">
        <v>730</v>
      </c>
    </row>
    <row r="341" spans="1:12" s="27" customFormat="1" x14ac:dyDescent="0.2">
      <c r="A341" s="103"/>
      <c r="B341" s="103"/>
      <c r="C341" s="103"/>
      <c r="D341" s="103"/>
      <c r="E341" s="103"/>
      <c r="F341" s="103"/>
      <c r="G341" s="103"/>
      <c r="H341" s="119" t="s">
        <v>19</v>
      </c>
      <c r="I341" s="101"/>
      <c r="J341" s="104"/>
    </row>
    <row r="342" spans="1:12" s="27" customFormat="1" ht="25.5" x14ac:dyDescent="0.2">
      <c r="A342" s="103" t="s">
        <v>14</v>
      </c>
      <c r="B342" s="103" t="s">
        <v>14</v>
      </c>
      <c r="C342" s="103"/>
      <c r="D342" s="103" t="s">
        <v>174</v>
      </c>
      <c r="E342" s="103">
        <f>E340+G340</f>
        <v>2091</v>
      </c>
      <c r="F342" s="103">
        <f t="shared" ref="F342:F349" si="37">E342+G342-1</f>
        <v>2098</v>
      </c>
      <c r="G342" s="103">
        <v>8</v>
      </c>
      <c r="H342" s="102" t="s">
        <v>145</v>
      </c>
      <c r="I342" s="101" t="s">
        <v>557</v>
      </c>
      <c r="J342" s="101"/>
    </row>
    <row r="343" spans="1:12" s="27" customFormat="1" ht="25.5" x14ac:dyDescent="0.2">
      <c r="A343" s="103" t="s">
        <v>14</v>
      </c>
      <c r="B343" s="103" t="s">
        <v>14</v>
      </c>
      <c r="C343" s="103"/>
      <c r="D343" s="103" t="s">
        <v>174</v>
      </c>
      <c r="E343" s="103">
        <f t="shared" ref="E343:E349" si="38">E342+G342</f>
        <v>2099</v>
      </c>
      <c r="F343" s="103">
        <f>E343+G343-1</f>
        <v>2104</v>
      </c>
      <c r="G343" s="103">
        <v>6</v>
      </c>
      <c r="H343" s="102" t="s">
        <v>558</v>
      </c>
      <c r="I343" s="101" t="s">
        <v>354</v>
      </c>
      <c r="J343" s="101"/>
    </row>
    <row r="344" spans="1:12" s="27" customFormat="1" x14ac:dyDescent="0.2">
      <c r="A344" s="102"/>
      <c r="B344" s="102"/>
      <c r="C344" s="102"/>
      <c r="D344" s="102"/>
      <c r="E344" s="103">
        <f t="shared" si="38"/>
        <v>2105</v>
      </c>
      <c r="F344" s="103">
        <f t="shared" si="37"/>
        <v>2114</v>
      </c>
      <c r="G344" s="103">
        <v>10</v>
      </c>
      <c r="H344" s="102" t="s">
        <v>271</v>
      </c>
      <c r="I344" s="101"/>
      <c r="J344" s="101"/>
    </row>
    <row r="345" spans="1:12" s="27" customFormat="1" ht="25.5" x14ac:dyDescent="0.2">
      <c r="A345" s="103" t="s">
        <v>14</v>
      </c>
      <c r="B345" s="103" t="s">
        <v>14</v>
      </c>
      <c r="C345" s="103"/>
      <c r="D345" s="103" t="s">
        <v>174</v>
      </c>
      <c r="E345" s="103">
        <f t="shared" si="38"/>
        <v>2115</v>
      </c>
      <c r="F345" s="103">
        <f t="shared" si="37"/>
        <v>2121</v>
      </c>
      <c r="G345" s="103">
        <v>7</v>
      </c>
      <c r="H345" s="102" t="s">
        <v>146</v>
      </c>
      <c r="I345" s="101" t="s">
        <v>355</v>
      </c>
      <c r="J345" s="54"/>
    </row>
    <row r="346" spans="1:12" s="27" customFormat="1" x14ac:dyDescent="0.2">
      <c r="A346" s="103"/>
      <c r="B346" s="103"/>
      <c r="C346" s="103"/>
      <c r="D346" s="103"/>
      <c r="E346" s="103">
        <f t="shared" si="38"/>
        <v>2122</v>
      </c>
      <c r="F346" s="103">
        <f t="shared" si="37"/>
        <v>2122</v>
      </c>
      <c r="G346" s="103">
        <v>1</v>
      </c>
      <c r="H346" s="102" t="s">
        <v>271</v>
      </c>
      <c r="I346" s="101"/>
      <c r="J346" s="104"/>
    </row>
    <row r="347" spans="1:12" s="28" customFormat="1" ht="25.5" x14ac:dyDescent="0.2">
      <c r="A347" s="103" t="s">
        <v>13</v>
      </c>
      <c r="B347" s="103" t="s">
        <v>13</v>
      </c>
      <c r="C347" s="57" t="s">
        <v>150</v>
      </c>
      <c r="D347" s="103" t="s">
        <v>174</v>
      </c>
      <c r="E347" s="103">
        <f t="shared" si="38"/>
        <v>2123</v>
      </c>
      <c r="F347" s="103">
        <f t="shared" si="37"/>
        <v>2128</v>
      </c>
      <c r="G347" s="103">
        <v>6</v>
      </c>
      <c r="H347" s="102" t="s">
        <v>147</v>
      </c>
      <c r="I347" s="101" t="s">
        <v>34</v>
      </c>
      <c r="J347" s="101" t="s">
        <v>33</v>
      </c>
      <c r="K347" s="27"/>
      <c r="L347" s="27"/>
    </row>
    <row r="348" spans="1:12" s="28" customFormat="1" x14ac:dyDescent="0.2">
      <c r="A348" s="103"/>
      <c r="B348" s="103"/>
      <c r="C348" s="102"/>
      <c r="D348" s="102"/>
      <c r="E348" s="103">
        <f t="shared" si="38"/>
        <v>2129</v>
      </c>
      <c r="F348" s="103">
        <f t="shared" si="37"/>
        <v>2135</v>
      </c>
      <c r="G348" s="103">
        <v>7</v>
      </c>
      <c r="H348" s="102" t="s">
        <v>271</v>
      </c>
      <c r="I348" s="101"/>
      <c r="J348" s="101"/>
      <c r="K348" s="27"/>
      <c r="L348" s="27"/>
    </row>
    <row r="349" spans="1:12" s="28" customFormat="1" ht="51" x14ac:dyDescent="0.2">
      <c r="A349" s="103" t="s">
        <v>14</v>
      </c>
      <c r="B349" s="103" t="s">
        <v>14</v>
      </c>
      <c r="C349" s="103"/>
      <c r="D349" s="103" t="s">
        <v>174</v>
      </c>
      <c r="E349" s="103">
        <f t="shared" si="38"/>
        <v>2136</v>
      </c>
      <c r="F349" s="103">
        <f t="shared" si="37"/>
        <v>2143</v>
      </c>
      <c r="G349" s="103">
        <v>8</v>
      </c>
      <c r="H349" s="102" t="s">
        <v>148</v>
      </c>
      <c r="I349" s="101" t="s">
        <v>357</v>
      </c>
      <c r="J349" s="101"/>
      <c r="K349" s="27"/>
      <c r="L349" s="27"/>
    </row>
    <row r="350" spans="1:12" s="28" customFormat="1" x14ac:dyDescent="0.2">
      <c r="A350" s="103"/>
      <c r="B350" s="103"/>
      <c r="C350" s="103"/>
      <c r="D350" s="103"/>
      <c r="E350" s="103"/>
      <c r="F350" s="103"/>
      <c r="G350" s="103"/>
      <c r="H350" s="118" t="s">
        <v>364</v>
      </c>
      <c r="I350" s="101"/>
      <c r="J350" s="101"/>
      <c r="K350" s="27"/>
      <c r="L350" s="27"/>
    </row>
    <row r="351" spans="1:12" s="28" customFormat="1" ht="102" x14ac:dyDescent="0.2">
      <c r="A351" s="103" t="s">
        <v>13</v>
      </c>
      <c r="B351" s="103" t="s">
        <v>13</v>
      </c>
      <c r="C351" s="103"/>
      <c r="D351" s="103" t="s">
        <v>168</v>
      </c>
      <c r="E351" s="103">
        <f>E349+G349</f>
        <v>2144</v>
      </c>
      <c r="F351" s="103">
        <f t="shared" ref="F351:F355" si="39">E351+G351-1</f>
        <v>2149</v>
      </c>
      <c r="G351" s="103">
        <v>6</v>
      </c>
      <c r="H351" s="102" t="s">
        <v>365</v>
      </c>
      <c r="I351" s="101" t="s">
        <v>406</v>
      </c>
      <c r="J351" s="101" t="s">
        <v>488</v>
      </c>
      <c r="K351" s="27"/>
      <c r="L351" s="27"/>
    </row>
    <row r="352" spans="1:12" s="28" customFormat="1" ht="25.5" x14ac:dyDescent="0.2">
      <c r="A352" s="103" t="s">
        <v>14</v>
      </c>
      <c r="B352" s="103" t="s">
        <v>14</v>
      </c>
      <c r="C352" s="103"/>
      <c r="D352" s="103" t="s">
        <v>168</v>
      </c>
      <c r="E352" s="103">
        <f>E351+G351</f>
        <v>2150</v>
      </c>
      <c r="F352" s="103">
        <f t="shared" si="39"/>
        <v>2151</v>
      </c>
      <c r="G352" s="103">
        <v>2</v>
      </c>
      <c r="H352" s="105" t="s">
        <v>376</v>
      </c>
      <c r="I352" s="107" t="s">
        <v>391</v>
      </c>
      <c r="J352" s="121" t="s">
        <v>392</v>
      </c>
      <c r="K352" s="27"/>
      <c r="L352" s="27"/>
    </row>
    <row r="353" spans="1:16" s="28" customFormat="1" ht="25.5" x14ac:dyDescent="0.2">
      <c r="A353" s="103" t="s">
        <v>14</v>
      </c>
      <c r="B353" s="103" t="s">
        <v>14</v>
      </c>
      <c r="C353" s="103"/>
      <c r="D353" s="103" t="s">
        <v>168</v>
      </c>
      <c r="E353" s="103">
        <f>E352+G352</f>
        <v>2152</v>
      </c>
      <c r="F353" s="103">
        <f t="shared" si="39"/>
        <v>2159</v>
      </c>
      <c r="G353" s="103">
        <v>8</v>
      </c>
      <c r="H353" s="105" t="s">
        <v>377</v>
      </c>
      <c r="I353" s="107" t="s">
        <v>394</v>
      </c>
      <c r="J353" s="121" t="s">
        <v>393</v>
      </c>
      <c r="K353" s="27"/>
      <c r="L353" s="27"/>
    </row>
    <row r="354" spans="1:16" s="28" customFormat="1" x14ac:dyDescent="0.2">
      <c r="A354" s="103"/>
      <c r="B354" s="103"/>
      <c r="C354" s="103"/>
      <c r="D354" s="103"/>
      <c r="E354" s="103">
        <f>E353+G353</f>
        <v>2160</v>
      </c>
      <c r="F354" s="103">
        <f t="shared" si="39"/>
        <v>2169</v>
      </c>
      <c r="G354" s="103">
        <v>10</v>
      </c>
      <c r="H354" s="105" t="s">
        <v>271</v>
      </c>
      <c r="I354" s="107"/>
      <c r="J354" s="73"/>
      <c r="K354" s="82"/>
      <c r="L354" s="82"/>
      <c r="M354" s="83"/>
      <c r="N354" s="83"/>
      <c r="O354" s="83"/>
      <c r="P354" s="83"/>
    </row>
    <row r="355" spans="1:16" s="27" customFormat="1" x14ac:dyDescent="0.2">
      <c r="A355" s="103" t="s">
        <v>13</v>
      </c>
      <c r="B355" s="103" t="s">
        <v>13</v>
      </c>
      <c r="C355" s="103"/>
      <c r="D355" s="103" t="s">
        <v>174</v>
      </c>
      <c r="E355" s="103">
        <f>E354+G354</f>
        <v>2170</v>
      </c>
      <c r="F355" s="103">
        <f t="shared" si="39"/>
        <v>2188</v>
      </c>
      <c r="G355" s="103">
        <v>19</v>
      </c>
      <c r="H355" s="102" t="s">
        <v>149</v>
      </c>
      <c r="I355" s="101" t="s">
        <v>24</v>
      </c>
      <c r="J355" s="104" t="s">
        <v>15</v>
      </c>
    </row>
    <row r="356" spans="1:16" s="27" customFormat="1" x14ac:dyDescent="0.2">
      <c r="A356" s="103"/>
      <c r="B356" s="103"/>
      <c r="C356" s="103"/>
      <c r="D356" s="103"/>
      <c r="E356" s="102"/>
      <c r="F356" s="102"/>
      <c r="G356" s="103"/>
      <c r="H356" s="102"/>
      <c r="I356" s="101"/>
      <c r="J356" s="104"/>
    </row>
    <row r="357" spans="1:16" s="28" customFormat="1" x14ac:dyDescent="0.2">
      <c r="A357" s="103"/>
      <c r="B357" s="103"/>
      <c r="C357" s="39" t="s">
        <v>152</v>
      </c>
      <c r="D357" s="39"/>
      <c r="E357" s="39"/>
      <c r="F357" s="59">
        <f>F355</f>
        <v>2188</v>
      </c>
      <c r="G357" s="103"/>
      <c r="H357" s="102"/>
      <c r="I357" s="101"/>
      <c r="J357" s="104"/>
      <c r="K357" s="27"/>
      <c r="L357" s="27"/>
    </row>
    <row r="358" spans="1:16" x14ac:dyDescent="0.2">
      <c r="A358" s="114"/>
      <c r="B358" s="114"/>
      <c r="C358" s="40"/>
      <c r="D358" s="40"/>
      <c r="E358" s="102"/>
      <c r="F358" s="102"/>
      <c r="G358" s="102"/>
      <c r="H358" s="105"/>
      <c r="I358" s="50"/>
      <c r="J358" s="104"/>
    </row>
    <row r="359" spans="1:16" x14ac:dyDescent="0.2">
      <c r="A359" s="103"/>
      <c r="B359" s="103"/>
      <c r="C359" s="110"/>
      <c r="D359" s="110"/>
      <c r="E359" s="102"/>
      <c r="F359" s="42"/>
      <c r="G359" s="42"/>
      <c r="H359" s="105"/>
      <c r="I359" s="104"/>
      <c r="J359" s="101"/>
    </row>
    <row r="360" spans="1:16" x14ac:dyDescent="0.2">
      <c r="A360" s="103"/>
      <c r="B360" s="103"/>
      <c r="C360" s="110"/>
      <c r="D360" s="110"/>
      <c r="E360" s="102"/>
      <c r="F360" s="102"/>
      <c r="G360" s="102"/>
      <c r="H360" s="115"/>
      <c r="I360" s="104"/>
      <c r="J360" s="104"/>
    </row>
    <row r="361" spans="1:16" x14ac:dyDescent="0.2">
      <c r="A361" s="103"/>
      <c r="B361" s="103"/>
      <c r="C361" s="110"/>
      <c r="D361" s="110"/>
      <c r="E361" s="102"/>
      <c r="F361" s="102"/>
      <c r="G361" s="102"/>
      <c r="H361" s="115"/>
      <c r="I361" s="104"/>
      <c r="J361" s="104"/>
    </row>
    <row r="362" spans="1:16" x14ac:dyDescent="0.2">
      <c r="A362" s="103"/>
      <c r="B362" s="103"/>
      <c r="C362" s="110"/>
      <c r="D362" s="110"/>
      <c r="E362" s="102"/>
      <c r="F362" s="102"/>
      <c r="G362" s="102"/>
      <c r="H362" s="115"/>
      <c r="I362" s="104"/>
      <c r="J362" s="104"/>
    </row>
    <row r="363" spans="1:16" x14ac:dyDescent="0.2">
      <c r="A363" s="103"/>
      <c r="B363" s="103"/>
      <c r="C363" s="110"/>
      <c r="D363" s="110"/>
      <c r="E363" s="102"/>
      <c r="F363" s="102"/>
      <c r="G363" s="102"/>
      <c r="H363" s="115"/>
      <c r="I363" s="104"/>
      <c r="J363" s="104"/>
    </row>
    <row r="364" spans="1:16" x14ac:dyDescent="0.2">
      <c r="A364" s="103"/>
      <c r="B364" s="103"/>
      <c r="C364" s="110"/>
      <c r="D364" s="110"/>
      <c r="E364" s="102"/>
      <c r="F364" s="102"/>
      <c r="G364" s="102"/>
      <c r="H364" s="115"/>
      <c r="I364" s="104"/>
      <c r="J364" s="104"/>
    </row>
    <row r="365" spans="1:16" x14ac:dyDescent="0.2">
      <c r="A365" s="103"/>
      <c r="B365" s="103"/>
      <c r="C365" s="110"/>
      <c r="D365" s="110"/>
      <c r="E365" s="102"/>
      <c r="F365" s="102"/>
      <c r="G365" s="102"/>
      <c r="H365" s="115"/>
      <c r="I365" s="104"/>
      <c r="J365" s="104"/>
    </row>
    <row r="366" spans="1:16" x14ac:dyDescent="0.2">
      <c r="A366" s="103"/>
      <c r="B366" s="103"/>
      <c r="C366" s="110"/>
      <c r="D366" s="110"/>
      <c r="E366" s="102"/>
      <c r="F366" s="102"/>
      <c r="G366" s="102"/>
      <c r="H366" s="115"/>
      <c r="I366" s="104"/>
      <c r="J366" s="104"/>
    </row>
    <row r="367" spans="1:16" x14ac:dyDescent="0.2">
      <c r="A367" s="103"/>
      <c r="B367" s="103"/>
      <c r="C367" s="110"/>
      <c r="D367" s="110"/>
      <c r="E367" s="102"/>
      <c r="F367" s="102"/>
      <c r="G367" s="102"/>
      <c r="H367" s="115"/>
      <c r="I367" s="104"/>
      <c r="J367" s="104"/>
    </row>
    <row r="368" spans="1:16" x14ac:dyDescent="0.2">
      <c r="A368" s="103"/>
      <c r="B368" s="103"/>
      <c r="C368" s="110"/>
      <c r="D368" s="110"/>
      <c r="E368" s="102"/>
      <c r="F368" s="102"/>
      <c r="G368" s="102"/>
      <c r="H368" s="115"/>
      <c r="I368" s="104"/>
      <c r="J368" s="104"/>
    </row>
    <row r="369" spans="1:10" x14ac:dyDescent="0.2">
      <c r="A369" s="103"/>
      <c r="B369" s="103"/>
      <c r="C369" s="110"/>
      <c r="D369" s="110"/>
      <c r="E369" s="102"/>
      <c r="F369" s="102"/>
      <c r="G369" s="102"/>
      <c r="H369" s="115"/>
      <c r="I369" s="104"/>
      <c r="J369" s="104"/>
    </row>
    <row r="370" spans="1:10" x14ac:dyDescent="0.2">
      <c r="A370" s="103"/>
      <c r="B370" s="103"/>
      <c r="C370" s="110"/>
      <c r="D370" s="110"/>
      <c r="E370" s="102"/>
      <c r="F370" s="102"/>
      <c r="G370" s="102"/>
      <c r="H370" s="115"/>
      <c r="I370" s="104"/>
      <c r="J370" s="104"/>
    </row>
    <row r="371" spans="1:10" x14ac:dyDescent="0.2">
      <c r="A371" s="103"/>
      <c r="B371" s="103"/>
      <c r="C371" s="116"/>
      <c r="D371" s="116"/>
      <c r="E371" s="102"/>
      <c r="F371" s="102"/>
      <c r="G371" s="102"/>
      <c r="H371" s="115"/>
      <c r="I371" s="104"/>
      <c r="J371" s="104"/>
    </row>
    <row r="372" spans="1:10" x14ac:dyDescent="0.2">
      <c r="A372" s="103"/>
      <c r="B372" s="103"/>
      <c r="C372" s="116"/>
      <c r="D372" s="116"/>
      <c r="E372" s="102"/>
      <c r="F372" s="102"/>
      <c r="G372" s="102"/>
      <c r="H372" s="115"/>
      <c r="I372" s="104"/>
      <c r="J372" s="104"/>
    </row>
    <row r="373" spans="1:10" x14ac:dyDescent="0.2">
      <c r="A373" s="103"/>
      <c r="B373" s="103"/>
      <c r="C373" s="116"/>
      <c r="D373" s="116"/>
      <c r="E373" s="102"/>
      <c r="F373" s="102"/>
      <c r="G373" s="102"/>
      <c r="H373" s="115"/>
      <c r="I373" s="104"/>
      <c r="J373" s="104"/>
    </row>
    <row r="374" spans="1:10" x14ac:dyDescent="0.2">
      <c r="A374" s="103"/>
      <c r="B374" s="103"/>
      <c r="C374" s="116"/>
      <c r="D374" s="116"/>
      <c r="E374" s="102"/>
      <c r="F374" s="102"/>
      <c r="G374" s="102"/>
      <c r="H374" s="115"/>
      <c r="I374" s="104"/>
      <c r="J374" s="104"/>
    </row>
    <row r="375" spans="1:10" x14ac:dyDescent="0.2">
      <c r="A375" s="103"/>
      <c r="B375" s="103"/>
      <c r="C375" s="116"/>
      <c r="D375" s="116"/>
      <c r="E375" s="102"/>
      <c r="F375" s="102"/>
      <c r="G375" s="102"/>
      <c r="H375" s="115"/>
      <c r="I375" s="104"/>
      <c r="J375" s="104"/>
    </row>
    <row r="376" spans="1:10" x14ac:dyDescent="0.2">
      <c r="A376" s="103"/>
      <c r="B376" s="103"/>
      <c r="C376" s="116"/>
      <c r="D376" s="116"/>
      <c r="E376" s="102"/>
      <c r="F376" s="102"/>
      <c r="G376" s="102"/>
      <c r="H376" s="115"/>
      <c r="I376" s="104"/>
      <c r="J376" s="104"/>
    </row>
    <row r="377" spans="1:10" x14ac:dyDescent="0.2">
      <c r="A377" s="103"/>
      <c r="B377" s="103"/>
      <c r="C377" s="116"/>
      <c r="D377" s="116"/>
      <c r="E377" s="102"/>
      <c r="F377" s="102"/>
      <c r="G377" s="102"/>
      <c r="H377" s="115"/>
      <c r="I377" s="104"/>
      <c r="J377" s="104"/>
    </row>
    <row r="378" spans="1:10" x14ac:dyDescent="0.2">
      <c r="A378" s="103"/>
      <c r="B378" s="103"/>
      <c r="C378" s="116"/>
      <c r="D378" s="116"/>
      <c r="E378" s="102"/>
      <c r="F378" s="102"/>
      <c r="G378" s="102"/>
      <c r="H378" s="115"/>
      <c r="I378" s="104"/>
      <c r="J378" s="104"/>
    </row>
    <row r="379" spans="1:10" x14ac:dyDescent="0.2">
      <c r="A379" s="103"/>
      <c r="B379" s="103"/>
      <c r="C379" s="116"/>
      <c r="D379" s="116"/>
      <c r="E379" s="102"/>
      <c r="F379" s="102"/>
      <c r="G379" s="102"/>
      <c r="H379" s="115"/>
      <c r="I379" s="104"/>
      <c r="J379" s="104"/>
    </row>
    <row r="380" spans="1:10" x14ac:dyDescent="0.2">
      <c r="A380" s="103"/>
      <c r="B380" s="103"/>
      <c r="C380" s="116"/>
      <c r="D380" s="116"/>
      <c r="E380" s="102"/>
      <c r="F380" s="102"/>
      <c r="G380" s="102"/>
      <c r="H380" s="115"/>
      <c r="I380" s="104"/>
      <c r="J380" s="104"/>
    </row>
    <row r="381" spans="1:10" x14ac:dyDescent="0.2">
      <c r="A381" s="103"/>
      <c r="B381" s="103"/>
      <c r="C381" s="116"/>
      <c r="D381" s="116"/>
      <c r="E381" s="102"/>
      <c r="F381" s="102"/>
      <c r="G381" s="102"/>
      <c r="H381" s="115"/>
      <c r="I381" s="104"/>
      <c r="J381" s="104"/>
    </row>
    <row r="382" spans="1:10" x14ac:dyDescent="0.2">
      <c r="A382" s="103"/>
      <c r="B382" s="103"/>
      <c r="C382" s="116"/>
      <c r="D382" s="116"/>
      <c r="E382" s="102"/>
      <c r="F382" s="102"/>
      <c r="G382" s="102"/>
      <c r="H382" s="115"/>
      <c r="I382" s="104"/>
      <c r="J382" s="104"/>
    </row>
    <row r="383" spans="1:10" x14ac:dyDescent="0.2">
      <c r="A383" s="103"/>
      <c r="B383" s="103"/>
      <c r="C383" s="116"/>
      <c r="D383" s="116"/>
      <c r="E383" s="102"/>
      <c r="F383" s="102"/>
      <c r="G383" s="102"/>
      <c r="H383" s="115"/>
      <c r="I383" s="104"/>
      <c r="J383" s="104"/>
    </row>
    <row r="384" spans="1:10" x14ac:dyDescent="0.2">
      <c r="A384" s="103"/>
      <c r="B384" s="103"/>
      <c r="C384" s="116"/>
      <c r="D384" s="116"/>
      <c r="E384" s="102"/>
      <c r="F384" s="102"/>
      <c r="G384" s="102"/>
      <c r="H384" s="115"/>
      <c r="I384" s="104"/>
      <c r="J384" s="104"/>
    </row>
    <row r="385" spans="1:10" x14ac:dyDescent="0.2">
      <c r="A385" s="103"/>
      <c r="B385" s="103"/>
      <c r="C385" s="116"/>
      <c r="D385" s="116"/>
      <c r="E385" s="102"/>
      <c r="F385" s="102"/>
      <c r="G385" s="102"/>
      <c r="H385" s="115"/>
      <c r="I385" s="104"/>
      <c r="J385" s="104"/>
    </row>
    <row r="386" spans="1:10" x14ac:dyDescent="0.2">
      <c r="A386" s="103"/>
      <c r="B386" s="103"/>
      <c r="C386" s="116"/>
      <c r="D386" s="116"/>
      <c r="E386" s="102"/>
      <c r="F386" s="102"/>
      <c r="G386" s="102"/>
      <c r="H386" s="115"/>
      <c r="I386" s="104"/>
      <c r="J386" s="104"/>
    </row>
    <row r="387" spans="1:10" x14ac:dyDescent="0.2">
      <c r="A387" s="103"/>
      <c r="B387" s="103"/>
      <c r="C387" s="116"/>
      <c r="D387" s="116"/>
      <c r="E387" s="102"/>
      <c r="F387" s="102"/>
      <c r="G387" s="102"/>
      <c r="H387" s="115"/>
      <c r="I387" s="104"/>
      <c r="J387" s="104"/>
    </row>
    <row r="388" spans="1:10" x14ac:dyDescent="0.2">
      <c r="A388" s="103"/>
      <c r="B388" s="103"/>
      <c r="C388" s="116"/>
      <c r="D388" s="116"/>
      <c r="E388" s="102"/>
      <c r="F388" s="102"/>
      <c r="G388" s="102"/>
      <c r="H388" s="115"/>
      <c r="I388" s="104"/>
      <c r="J388" s="104"/>
    </row>
    <row r="389" spans="1:10" x14ac:dyDescent="0.2">
      <c r="A389" s="103"/>
      <c r="B389" s="103"/>
      <c r="C389" s="116"/>
      <c r="D389" s="116"/>
      <c r="E389" s="102"/>
      <c r="F389" s="102"/>
      <c r="G389" s="102"/>
      <c r="H389" s="115"/>
      <c r="I389" s="104"/>
      <c r="J389" s="104"/>
    </row>
    <row r="390" spans="1:10" x14ac:dyDescent="0.2">
      <c r="A390" s="103"/>
      <c r="B390" s="103"/>
      <c r="C390" s="116"/>
      <c r="D390" s="116"/>
      <c r="E390" s="116"/>
      <c r="F390" s="116"/>
      <c r="G390" s="116"/>
      <c r="H390" s="106"/>
      <c r="I390" s="101"/>
      <c r="J390" s="101"/>
    </row>
    <row r="391" spans="1:10" x14ac:dyDescent="0.2">
      <c r="A391" s="103"/>
      <c r="B391" s="103"/>
      <c r="C391" s="116"/>
      <c r="D391" s="116"/>
      <c r="E391" s="102"/>
      <c r="F391" s="102"/>
      <c r="G391" s="102"/>
      <c r="H391" s="115"/>
      <c r="J391" s="104"/>
    </row>
    <row r="392" spans="1:10" x14ac:dyDescent="0.2">
      <c r="A392" s="103"/>
      <c r="B392" s="103"/>
      <c r="C392" s="116"/>
      <c r="D392" s="116"/>
      <c r="E392" s="102"/>
      <c r="F392" s="102"/>
      <c r="G392" s="102"/>
      <c r="H392" s="115"/>
      <c r="J392" s="104"/>
    </row>
    <row r="393" spans="1:10" x14ac:dyDescent="0.2">
      <c r="A393" s="103"/>
      <c r="B393" s="103"/>
      <c r="C393" s="116"/>
      <c r="D393" s="116"/>
      <c r="E393" s="102"/>
      <c r="F393" s="102"/>
      <c r="G393" s="102"/>
      <c r="H393" s="115"/>
      <c r="J393" s="104"/>
    </row>
    <row r="394" spans="1:10" x14ac:dyDescent="0.2">
      <c r="A394" s="103"/>
      <c r="B394" s="103"/>
      <c r="C394" s="116"/>
      <c r="D394" s="116"/>
      <c r="E394" s="102"/>
      <c r="F394" s="102"/>
      <c r="G394" s="102"/>
      <c r="H394" s="115"/>
      <c r="J394" s="104"/>
    </row>
    <row r="395" spans="1:10" x14ac:dyDescent="0.2">
      <c r="A395" s="103"/>
      <c r="B395" s="103"/>
      <c r="C395" s="116"/>
      <c r="D395" s="116"/>
      <c r="E395" s="102"/>
      <c r="F395" s="102"/>
      <c r="G395" s="102"/>
      <c r="H395" s="115"/>
      <c r="J395" s="104"/>
    </row>
    <row r="396" spans="1:10" x14ac:dyDescent="0.2">
      <c r="A396" s="103"/>
      <c r="B396" s="103"/>
      <c r="C396" s="116"/>
      <c r="D396" s="116"/>
      <c r="E396" s="102"/>
      <c r="F396" s="102"/>
      <c r="G396" s="102"/>
      <c r="H396" s="115"/>
      <c r="J396" s="104"/>
    </row>
    <row r="397" spans="1:10" x14ac:dyDescent="0.2">
      <c r="A397" s="103"/>
      <c r="B397" s="103"/>
      <c r="C397" s="116"/>
      <c r="D397" s="116"/>
      <c r="E397" s="102"/>
      <c r="F397" s="102"/>
      <c r="G397" s="102"/>
      <c r="H397" s="115"/>
      <c r="J397" s="104"/>
    </row>
    <row r="398" spans="1:10" x14ac:dyDescent="0.2">
      <c r="A398" s="103"/>
      <c r="B398" s="103"/>
      <c r="C398" s="116"/>
      <c r="D398" s="116"/>
      <c r="E398" s="102"/>
      <c r="F398" s="102"/>
      <c r="G398" s="102"/>
      <c r="H398" s="115"/>
      <c r="J398" s="104"/>
    </row>
    <row r="399" spans="1:10" x14ac:dyDescent="0.2">
      <c r="A399" s="103"/>
      <c r="B399" s="103"/>
      <c r="C399" s="116"/>
      <c r="D399" s="116"/>
      <c r="E399" s="102"/>
      <c r="F399" s="102"/>
      <c r="G399" s="102"/>
      <c r="H399" s="115"/>
      <c r="J399" s="104"/>
    </row>
    <row r="400" spans="1:10" x14ac:dyDescent="0.2">
      <c r="A400" s="103"/>
      <c r="B400" s="103"/>
      <c r="C400" s="116"/>
      <c r="D400" s="116"/>
      <c r="E400" s="102"/>
      <c r="F400" s="102"/>
      <c r="G400" s="102"/>
      <c r="H400" s="115"/>
      <c r="J400" s="104"/>
    </row>
    <row r="401" spans="1:10" x14ac:dyDescent="0.2">
      <c r="A401" s="103"/>
      <c r="B401" s="103"/>
      <c r="C401" s="116"/>
      <c r="D401" s="116"/>
      <c r="E401" s="102"/>
      <c r="F401" s="102"/>
      <c r="G401" s="102"/>
      <c r="H401" s="115"/>
      <c r="J401" s="104"/>
    </row>
    <row r="402" spans="1:10" x14ac:dyDescent="0.2">
      <c r="A402" s="103"/>
      <c r="B402" s="103"/>
      <c r="C402" s="116"/>
      <c r="D402" s="116"/>
      <c r="E402" s="102"/>
      <c r="F402" s="102"/>
      <c r="G402" s="102"/>
      <c r="H402" s="115"/>
      <c r="J402" s="104"/>
    </row>
    <row r="403" spans="1:10" x14ac:dyDescent="0.2">
      <c r="A403" s="103"/>
      <c r="B403" s="103"/>
      <c r="C403" s="116"/>
      <c r="D403" s="116"/>
      <c r="E403" s="102"/>
      <c r="F403" s="102"/>
      <c r="G403" s="102"/>
      <c r="H403" s="115"/>
      <c r="I403" s="104"/>
      <c r="J403" s="104"/>
    </row>
    <row r="404" spans="1:10" x14ac:dyDescent="0.2">
      <c r="A404" s="103"/>
      <c r="B404" s="103"/>
      <c r="C404" s="116"/>
      <c r="D404" s="116"/>
      <c r="E404" s="102"/>
      <c r="F404" s="102"/>
      <c r="G404" s="102"/>
      <c r="H404" s="115"/>
      <c r="I404" s="104"/>
      <c r="J404" s="104"/>
    </row>
    <row r="405" spans="1:10" x14ac:dyDescent="0.2">
      <c r="A405" s="103"/>
      <c r="B405" s="103"/>
      <c r="C405" s="116"/>
      <c r="D405" s="116"/>
      <c r="E405" s="102"/>
      <c r="F405" s="102"/>
      <c r="G405" s="102"/>
      <c r="H405" s="115"/>
      <c r="I405" s="104"/>
      <c r="J405" s="104"/>
    </row>
    <row r="406" spans="1:10" x14ac:dyDescent="0.2">
      <c r="A406" s="103"/>
      <c r="B406" s="103"/>
      <c r="C406" s="116"/>
      <c r="D406" s="116"/>
      <c r="E406" s="102"/>
      <c r="F406" s="102"/>
      <c r="G406" s="102"/>
      <c r="H406" s="115"/>
      <c r="I406" s="104"/>
      <c r="J406" s="104"/>
    </row>
    <row r="407" spans="1:10" x14ac:dyDescent="0.2">
      <c r="A407" s="103"/>
      <c r="B407" s="103"/>
      <c r="C407" s="116"/>
      <c r="D407" s="116"/>
      <c r="E407" s="102"/>
      <c r="F407" s="102"/>
      <c r="G407" s="102"/>
      <c r="H407" s="115"/>
      <c r="I407" s="104"/>
      <c r="J407" s="104"/>
    </row>
    <row r="408" spans="1:10" x14ac:dyDescent="0.2">
      <c r="A408" s="103"/>
      <c r="B408" s="103"/>
      <c r="C408" s="116"/>
      <c r="D408" s="116"/>
      <c r="E408" s="102"/>
      <c r="F408" s="102"/>
      <c r="G408" s="102"/>
      <c r="H408" s="115"/>
      <c r="I408" s="104"/>
      <c r="J408" s="104"/>
    </row>
    <row r="409" spans="1:10" x14ac:dyDescent="0.2">
      <c r="A409" s="103"/>
      <c r="B409" s="103"/>
      <c r="C409" s="116"/>
      <c r="D409" s="116"/>
      <c r="E409" s="102"/>
      <c r="F409" s="102"/>
      <c r="G409" s="102"/>
      <c r="H409" s="115"/>
      <c r="I409" s="104"/>
      <c r="J409" s="104"/>
    </row>
    <row r="410" spans="1:10" x14ac:dyDescent="0.2">
      <c r="A410" s="103"/>
      <c r="B410" s="103"/>
      <c r="C410" s="116"/>
      <c r="D410" s="116"/>
      <c r="E410" s="102"/>
      <c r="F410" s="102"/>
      <c r="G410" s="102"/>
      <c r="H410" s="115"/>
      <c r="I410" s="104"/>
      <c r="J410" s="104"/>
    </row>
    <row r="411" spans="1:10" x14ac:dyDescent="0.2">
      <c r="A411" s="103"/>
      <c r="B411" s="103"/>
      <c r="C411" s="116"/>
      <c r="D411" s="116"/>
      <c r="E411" s="102"/>
      <c r="F411" s="102"/>
      <c r="G411" s="102"/>
      <c r="H411" s="115"/>
      <c r="I411" s="104"/>
      <c r="J411" s="104"/>
    </row>
    <row r="412" spans="1:10" x14ac:dyDescent="0.2">
      <c r="A412" s="103"/>
      <c r="B412" s="103"/>
      <c r="C412" s="116"/>
      <c r="D412" s="116"/>
      <c r="E412" s="102"/>
      <c r="F412" s="102"/>
      <c r="G412" s="102"/>
      <c r="H412" s="115"/>
      <c r="I412" s="104"/>
      <c r="J412" s="104"/>
    </row>
    <row r="413" spans="1:10" x14ac:dyDescent="0.2">
      <c r="A413" s="103"/>
      <c r="B413" s="103"/>
      <c r="C413" s="116"/>
      <c r="D413" s="116"/>
      <c r="E413" s="102"/>
      <c r="F413" s="102"/>
      <c r="G413" s="102"/>
      <c r="H413" s="115"/>
      <c r="I413" s="104"/>
      <c r="J413" s="104"/>
    </row>
    <row r="414" spans="1:10" x14ac:dyDescent="0.2">
      <c r="A414" s="103"/>
      <c r="B414" s="103"/>
      <c r="C414" s="116"/>
      <c r="D414" s="116"/>
      <c r="E414" s="102"/>
      <c r="F414" s="102"/>
      <c r="G414" s="102"/>
      <c r="H414" s="115"/>
      <c r="I414" s="104"/>
      <c r="J414" s="104"/>
    </row>
    <row r="415" spans="1:10" x14ac:dyDescent="0.2">
      <c r="A415" s="103"/>
      <c r="B415" s="103"/>
      <c r="C415" s="116"/>
      <c r="D415" s="116"/>
      <c r="E415" s="102"/>
      <c r="F415" s="102"/>
      <c r="G415" s="102"/>
      <c r="H415" s="115"/>
      <c r="I415" s="104"/>
      <c r="J415" s="104"/>
    </row>
    <row r="416" spans="1:10" x14ac:dyDescent="0.2">
      <c r="A416" s="103"/>
      <c r="B416" s="103"/>
      <c r="C416" s="116"/>
      <c r="D416" s="116"/>
      <c r="E416" s="102"/>
      <c r="F416" s="102"/>
      <c r="G416" s="102"/>
      <c r="H416" s="115"/>
      <c r="I416" s="104"/>
      <c r="J416" s="104"/>
    </row>
    <row r="417" spans="1:10" x14ac:dyDescent="0.2">
      <c r="A417" s="103"/>
      <c r="B417" s="103"/>
      <c r="C417" s="116"/>
      <c r="D417" s="116"/>
      <c r="E417" s="102"/>
      <c r="F417" s="102"/>
      <c r="G417" s="102"/>
      <c r="H417" s="115"/>
      <c r="I417" s="104"/>
      <c r="J417" s="104"/>
    </row>
    <row r="418" spans="1:10" x14ac:dyDescent="0.2">
      <c r="A418" s="103"/>
      <c r="B418" s="103"/>
      <c r="C418" s="116"/>
      <c r="D418" s="116"/>
      <c r="E418" s="102"/>
      <c r="F418" s="102"/>
      <c r="G418" s="102"/>
      <c r="H418" s="115"/>
      <c r="I418" s="104"/>
      <c r="J418" s="104"/>
    </row>
    <row r="419" spans="1:10" x14ac:dyDescent="0.2">
      <c r="A419" s="103"/>
      <c r="B419" s="103"/>
      <c r="C419" s="116"/>
      <c r="D419" s="116"/>
      <c r="E419" s="102"/>
      <c r="F419" s="102"/>
      <c r="G419" s="102"/>
      <c r="H419" s="115"/>
      <c r="J419" s="104"/>
    </row>
    <row r="420" spans="1:10" x14ac:dyDescent="0.2">
      <c r="A420" s="103"/>
      <c r="B420" s="103"/>
      <c r="C420" s="116"/>
      <c r="D420" s="116"/>
      <c r="E420" s="102"/>
      <c r="F420" s="102"/>
      <c r="G420" s="102"/>
      <c r="H420" s="115"/>
      <c r="J420" s="104"/>
    </row>
    <row r="421" spans="1:10" x14ac:dyDescent="0.2">
      <c r="A421" s="103"/>
      <c r="B421" s="103"/>
      <c r="C421" s="116"/>
      <c r="D421" s="116"/>
      <c r="E421" s="116"/>
      <c r="F421" s="116"/>
      <c r="G421" s="116"/>
      <c r="H421" s="106"/>
      <c r="I421" s="104"/>
      <c r="J421" s="101"/>
    </row>
    <row r="422" spans="1:10" x14ac:dyDescent="0.2">
      <c r="A422" s="103"/>
      <c r="B422" s="103"/>
      <c r="C422" s="116"/>
      <c r="D422" s="116"/>
      <c r="E422" s="102"/>
      <c r="F422" s="102"/>
      <c r="G422" s="102"/>
      <c r="H422" s="115"/>
      <c r="J422" s="104"/>
    </row>
    <row r="423" spans="1:10" x14ac:dyDescent="0.2">
      <c r="A423" s="103"/>
      <c r="B423" s="103"/>
      <c r="C423" s="116"/>
      <c r="D423" s="116"/>
      <c r="E423" s="116"/>
      <c r="F423" s="102"/>
      <c r="G423" s="102"/>
      <c r="H423" s="115"/>
      <c r="J423" s="104"/>
    </row>
    <row r="424" spans="1:10" x14ac:dyDescent="0.2">
      <c r="A424" s="103"/>
      <c r="B424" s="103"/>
      <c r="C424" s="116"/>
      <c r="D424" s="116"/>
      <c r="E424" s="116"/>
      <c r="F424" s="102"/>
      <c r="G424" s="102"/>
      <c r="H424" s="115"/>
      <c r="J424" s="104"/>
    </row>
    <row r="425" spans="1:10" x14ac:dyDescent="0.2">
      <c r="A425" s="103"/>
      <c r="B425" s="103"/>
      <c r="C425" s="116"/>
      <c r="D425" s="116"/>
      <c r="E425" s="116"/>
      <c r="F425" s="102"/>
      <c r="G425" s="102"/>
      <c r="H425" s="115"/>
      <c r="J425" s="104"/>
    </row>
    <row r="426" spans="1:10" x14ac:dyDescent="0.2">
      <c r="A426" s="103"/>
      <c r="B426" s="103"/>
      <c r="C426" s="116"/>
      <c r="D426" s="116"/>
      <c r="E426" s="116"/>
      <c r="F426" s="102"/>
      <c r="G426" s="102"/>
      <c r="H426" s="115"/>
      <c r="J426" s="104"/>
    </row>
    <row r="427" spans="1:10" x14ac:dyDescent="0.2">
      <c r="A427" s="103"/>
      <c r="B427" s="103"/>
      <c r="C427" s="116"/>
      <c r="D427" s="116"/>
      <c r="E427" s="116"/>
      <c r="F427" s="102"/>
      <c r="G427" s="102"/>
      <c r="H427" s="115"/>
      <c r="J427" s="104"/>
    </row>
    <row r="428" spans="1:10" x14ac:dyDescent="0.2">
      <c r="A428" s="103"/>
      <c r="B428" s="103"/>
      <c r="C428" s="116"/>
      <c r="D428" s="116"/>
      <c r="E428" s="116"/>
      <c r="F428" s="102"/>
      <c r="G428" s="102"/>
      <c r="H428" s="115"/>
      <c r="J428" s="104"/>
    </row>
    <row r="429" spans="1:10" x14ac:dyDescent="0.2">
      <c r="A429" s="103"/>
      <c r="B429" s="103"/>
      <c r="C429" s="116"/>
      <c r="D429" s="116"/>
      <c r="E429" s="116"/>
      <c r="F429" s="102"/>
      <c r="G429" s="102"/>
      <c r="H429" s="115"/>
      <c r="J429" s="104"/>
    </row>
    <row r="430" spans="1:10" x14ac:dyDescent="0.2">
      <c r="A430" s="103"/>
      <c r="B430" s="103"/>
      <c r="C430" s="116"/>
      <c r="D430" s="116"/>
      <c r="E430" s="116"/>
      <c r="F430" s="102"/>
      <c r="G430" s="102"/>
      <c r="H430" s="115"/>
      <c r="J430" s="104"/>
    </row>
    <row r="431" spans="1:10" x14ac:dyDescent="0.2">
      <c r="A431" s="103"/>
      <c r="B431" s="103"/>
      <c r="C431" s="116"/>
      <c r="D431" s="116"/>
      <c r="E431" s="116"/>
      <c r="F431" s="102"/>
      <c r="G431" s="102"/>
      <c r="H431" s="115"/>
      <c r="J431" s="104"/>
    </row>
    <row r="432" spans="1:10" x14ac:dyDescent="0.2">
      <c r="A432" s="103"/>
      <c r="B432" s="103"/>
      <c r="C432" s="116"/>
      <c r="D432" s="116"/>
      <c r="E432" s="116"/>
      <c r="F432" s="102"/>
      <c r="G432" s="102"/>
      <c r="H432" s="115"/>
      <c r="J432" s="104"/>
    </row>
    <row r="433" spans="1:10" x14ac:dyDescent="0.2">
      <c r="A433" s="103"/>
      <c r="B433" s="103"/>
      <c r="C433" s="116"/>
      <c r="D433" s="116"/>
      <c r="E433" s="116"/>
      <c r="F433" s="102"/>
      <c r="G433" s="102"/>
      <c r="H433" s="115"/>
      <c r="J433" s="104"/>
    </row>
    <row r="434" spans="1:10" x14ac:dyDescent="0.2">
      <c r="A434" s="103"/>
      <c r="B434" s="103"/>
      <c r="C434" s="116"/>
      <c r="D434" s="116"/>
      <c r="E434" s="116"/>
      <c r="F434" s="102"/>
      <c r="G434" s="102"/>
      <c r="H434" s="115"/>
      <c r="J434" s="104"/>
    </row>
    <row r="435" spans="1:10" x14ac:dyDescent="0.2">
      <c r="A435" s="103"/>
      <c r="B435" s="103"/>
      <c r="C435" s="116"/>
      <c r="D435" s="116"/>
      <c r="E435" s="116"/>
      <c r="F435" s="102"/>
      <c r="G435" s="102"/>
      <c r="H435" s="115"/>
      <c r="I435" s="104"/>
      <c r="J435" s="104"/>
    </row>
    <row r="436" spans="1:10" x14ac:dyDescent="0.2">
      <c r="A436" s="103"/>
      <c r="B436" s="103"/>
      <c r="C436" s="116"/>
      <c r="D436" s="116"/>
      <c r="E436" s="116"/>
      <c r="F436" s="102"/>
      <c r="G436" s="102"/>
      <c r="H436" s="115"/>
      <c r="I436" s="104"/>
      <c r="J436" s="104"/>
    </row>
    <row r="437" spans="1:10" x14ac:dyDescent="0.2">
      <c r="A437" s="103"/>
      <c r="B437" s="103"/>
      <c r="C437" s="116"/>
      <c r="D437" s="116"/>
      <c r="E437" s="116"/>
      <c r="F437" s="102"/>
      <c r="G437" s="102"/>
      <c r="H437" s="115"/>
      <c r="I437" s="104"/>
      <c r="J437" s="104"/>
    </row>
    <row r="438" spans="1:10" x14ac:dyDescent="0.2">
      <c r="A438" s="103"/>
      <c r="B438" s="103"/>
      <c r="C438" s="116"/>
      <c r="D438" s="116"/>
      <c r="E438" s="116"/>
      <c r="F438" s="102"/>
      <c r="G438" s="102"/>
      <c r="H438" s="115"/>
      <c r="I438" s="104"/>
      <c r="J438" s="104"/>
    </row>
    <row r="439" spans="1:10" x14ac:dyDescent="0.2">
      <c r="A439" s="103"/>
      <c r="B439" s="103"/>
      <c r="C439" s="116"/>
      <c r="D439" s="116"/>
      <c r="E439" s="116"/>
      <c r="F439" s="102"/>
      <c r="G439" s="102"/>
      <c r="H439" s="115"/>
      <c r="I439" s="104"/>
      <c r="J439" s="104"/>
    </row>
    <row r="440" spans="1:10" x14ac:dyDescent="0.2">
      <c r="A440" s="103"/>
      <c r="B440" s="103"/>
      <c r="C440" s="116"/>
      <c r="D440" s="116"/>
      <c r="E440" s="116"/>
      <c r="F440" s="102"/>
      <c r="G440" s="102"/>
      <c r="H440" s="115"/>
      <c r="I440" s="104"/>
      <c r="J440" s="104"/>
    </row>
    <row r="441" spans="1:10" x14ac:dyDescent="0.2">
      <c r="A441" s="103"/>
      <c r="B441" s="103"/>
      <c r="C441" s="116"/>
      <c r="D441" s="116"/>
      <c r="E441" s="116"/>
      <c r="F441" s="102"/>
      <c r="G441" s="102"/>
      <c r="H441" s="115"/>
      <c r="I441" s="104"/>
      <c r="J441" s="104"/>
    </row>
    <row r="442" spans="1:10" x14ac:dyDescent="0.2">
      <c r="A442" s="103"/>
      <c r="B442" s="103"/>
      <c r="C442" s="116"/>
      <c r="D442" s="116"/>
      <c r="E442" s="116"/>
      <c r="F442" s="102"/>
      <c r="G442" s="102"/>
      <c r="H442" s="115"/>
      <c r="I442" s="104"/>
      <c r="J442" s="104"/>
    </row>
    <row r="443" spans="1:10" x14ac:dyDescent="0.2">
      <c r="A443" s="103"/>
      <c r="B443" s="103"/>
      <c r="C443" s="116"/>
      <c r="D443" s="116"/>
      <c r="E443" s="116"/>
      <c r="F443" s="102"/>
      <c r="G443" s="102"/>
      <c r="H443" s="115"/>
      <c r="I443" s="104"/>
      <c r="J443" s="104"/>
    </row>
    <row r="444" spans="1:10" x14ac:dyDescent="0.2">
      <c r="A444" s="103"/>
      <c r="B444" s="103"/>
      <c r="C444" s="116"/>
      <c r="D444" s="116"/>
      <c r="E444" s="116"/>
      <c r="F444" s="102"/>
      <c r="G444" s="102"/>
      <c r="H444" s="115"/>
      <c r="I444" s="104"/>
      <c r="J444" s="104"/>
    </row>
    <row r="445" spans="1:10" x14ac:dyDescent="0.2">
      <c r="A445" s="103"/>
      <c r="B445" s="103"/>
      <c r="C445" s="116"/>
      <c r="D445" s="116"/>
      <c r="E445" s="116"/>
      <c r="F445" s="102"/>
      <c r="G445" s="102"/>
      <c r="H445" s="115"/>
      <c r="I445" s="104"/>
      <c r="J445" s="104"/>
    </row>
    <row r="446" spans="1:10" x14ac:dyDescent="0.2">
      <c r="A446" s="103"/>
      <c r="B446" s="103"/>
      <c r="C446" s="116"/>
      <c r="D446" s="116"/>
      <c r="E446" s="116"/>
      <c r="F446" s="102"/>
      <c r="G446" s="102"/>
      <c r="H446" s="115"/>
      <c r="I446" s="104"/>
      <c r="J446" s="104"/>
    </row>
    <row r="447" spans="1:10" x14ac:dyDescent="0.2">
      <c r="A447" s="103"/>
      <c r="B447" s="103"/>
      <c r="C447" s="116"/>
      <c r="D447" s="116"/>
      <c r="E447" s="116"/>
      <c r="F447" s="102"/>
      <c r="G447" s="102"/>
      <c r="H447" s="115"/>
      <c r="I447" s="104"/>
      <c r="J447" s="104"/>
    </row>
    <row r="448" spans="1:10" x14ac:dyDescent="0.2">
      <c r="A448" s="103"/>
      <c r="B448" s="103"/>
      <c r="C448" s="116"/>
      <c r="D448" s="116"/>
      <c r="E448" s="116"/>
      <c r="F448" s="102"/>
      <c r="G448" s="102"/>
      <c r="H448" s="115"/>
      <c r="I448" s="104"/>
      <c r="J448" s="104"/>
    </row>
    <row r="449" spans="1:10" x14ac:dyDescent="0.2">
      <c r="A449" s="103"/>
      <c r="B449" s="103"/>
      <c r="C449" s="116"/>
      <c r="D449" s="116"/>
      <c r="E449" s="116"/>
      <c r="F449" s="102"/>
      <c r="G449" s="102"/>
      <c r="H449" s="115"/>
      <c r="I449" s="104"/>
      <c r="J449" s="104"/>
    </row>
    <row r="450" spans="1:10" x14ac:dyDescent="0.2">
      <c r="A450" s="103"/>
      <c r="B450" s="103"/>
      <c r="C450" s="116"/>
      <c r="D450" s="116"/>
      <c r="E450" s="116"/>
      <c r="F450" s="102"/>
      <c r="G450" s="102"/>
      <c r="H450" s="115"/>
      <c r="I450" s="104"/>
      <c r="J450" s="104"/>
    </row>
    <row r="451" spans="1:10" x14ac:dyDescent="0.2">
      <c r="A451" s="103"/>
      <c r="B451" s="103"/>
      <c r="C451" s="116"/>
      <c r="D451" s="116"/>
      <c r="E451" s="116"/>
      <c r="F451" s="102"/>
      <c r="G451" s="102"/>
      <c r="H451" s="115"/>
      <c r="J451" s="104"/>
    </row>
    <row r="452" spans="1:10" x14ac:dyDescent="0.2">
      <c r="A452" s="103"/>
      <c r="B452" s="103"/>
      <c r="C452" s="116"/>
      <c r="D452" s="116"/>
      <c r="E452" s="116"/>
      <c r="F452" s="116"/>
      <c r="G452" s="116"/>
      <c r="H452" s="106"/>
      <c r="I452" s="104"/>
      <c r="J452" s="101"/>
    </row>
    <row r="453" spans="1:10" x14ac:dyDescent="0.2">
      <c r="A453" s="103"/>
      <c r="B453" s="103"/>
      <c r="C453" s="116"/>
      <c r="D453" s="116"/>
      <c r="E453" s="116"/>
      <c r="F453" s="102"/>
      <c r="G453" s="102"/>
      <c r="H453" s="115"/>
      <c r="J453" s="104"/>
    </row>
    <row r="454" spans="1:10" x14ac:dyDescent="0.2">
      <c r="A454" s="103"/>
      <c r="B454" s="103"/>
      <c r="C454" s="116"/>
      <c r="D454" s="116"/>
      <c r="E454" s="116"/>
      <c r="F454" s="102"/>
      <c r="G454" s="102"/>
      <c r="H454" s="115"/>
      <c r="J454" s="104"/>
    </row>
    <row r="455" spans="1:10" x14ac:dyDescent="0.2">
      <c r="A455" s="103"/>
      <c r="B455" s="103"/>
      <c r="C455" s="116"/>
      <c r="D455" s="116"/>
      <c r="E455" s="116"/>
      <c r="F455" s="102"/>
      <c r="G455" s="102"/>
      <c r="H455" s="115"/>
      <c r="J455" s="104"/>
    </row>
    <row r="456" spans="1:10" x14ac:dyDescent="0.2">
      <c r="A456" s="103"/>
      <c r="B456" s="103"/>
      <c r="C456" s="116"/>
      <c r="D456" s="116"/>
      <c r="E456" s="116"/>
      <c r="F456" s="102"/>
      <c r="G456" s="102"/>
      <c r="H456" s="115"/>
      <c r="J456" s="104"/>
    </row>
    <row r="457" spans="1:10" x14ac:dyDescent="0.2">
      <c r="A457" s="103"/>
      <c r="B457" s="103"/>
      <c r="C457" s="116"/>
      <c r="D457" s="116"/>
      <c r="E457" s="116"/>
      <c r="F457" s="102"/>
      <c r="G457" s="102"/>
      <c r="H457" s="115"/>
      <c r="J457" s="104"/>
    </row>
    <row r="458" spans="1:10" x14ac:dyDescent="0.2">
      <c r="A458" s="103"/>
      <c r="B458" s="103"/>
      <c r="C458" s="116"/>
      <c r="D458" s="116"/>
      <c r="E458" s="116"/>
      <c r="F458" s="102"/>
      <c r="G458" s="102"/>
      <c r="H458" s="115"/>
      <c r="J458" s="104"/>
    </row>
    <row r="459" spans="1:10" x14ac:dyDescent="0.2">
      <c r="A459" s="103"/>
      <c r="B459" s="103"/>
      <c r="C459" s="116"/>
      <c r="D459" s="116"/>
      <c r="E459" s="116"/>
      <c r="F459" s="102"/>
      <c r="G459" s="102"/>
      <c r="H459" s="115"/>
      <c r="J459" s="104"/>
    </row>
    <row r="460" spans="1:10" x14ac:dyDescent="0.2">
      <c r="A460" s="103"/>
      <c r="B460" s="103"/>
      <c r="C460" s="116"/>
      <c r="D460" s="116"/>
      <c r="E460" s="116"/>
      <c r="F460" s="102"/>
      <c r="G460" s="102"/>
      <c r="H460" s="115"/>
      <c r="J460" s="104"/>
    </row>
    <row r="461" spans="1:10" x14ac:dyDescent="0.2">
      <c r="A461" s="103"/>
      <c r="B461" s="103"/>
      <c r="C461" s="116"/>
      <c r="D461" s="116"/>
      <c r="E461" s="116"/>
      <c r="F461" s="102"/>
      <c r="G461" s="102"/>
      <c r="H461" s="115"/>
      <c r="J461" s="104"/>
    </row>
    <row r="462" spans="1:10" x14ac:dyDescent="0.2">
      <c r="A462" s="103"/>
      <c r="B462" s="103"/>
      <c r="C462" s="116"/>
      <c r="D462" s="116"/>
      <c r="E462" s="116"/>
      <c r="F462" s="102"/>
      <c r="G462" s="102"/>
      <c r="H462" s="115"/>
      <c r="J462" s="104"/>
    </row>
    <row r="463" spans="1:10" x14ac:dyDescent="0.2">
      <c r="A463" s="103"/>
      <c r="B463" s="103"/>
      <c r="C463" s="116"/>
      <c r="D463" s="116"/>
      <c r="E463" s="116"/>
      <c r="F463" s="102"/>
      <c r="G463" s="102"/>
      <c r="H463" s="115"/>
      <c r="J463" s="104"/>
    </row>
    <row r="464" spans="1:10" x14ac:dyDescent="0.2">
      <c r="A464" s="103"/>
      <c r="B464" s="103"/>
      <c r="C464" s="116"/>
      <c r="D464" s="116"/>
      <c r="E464" s="116"/>
      <c r="F464" s="102"/>
      <c r="G464" s="102"/>
      <c r="H464" s="115"/>
      <c r="J464" s="104"/>
    </row>
    <row r="465" spans="1:10" x14ac:dyDescent="0.2">
      <c r="A465" s="103"/>
      <c r="B465" s="103"/>
      <c r="C465" s="116"/>
      <c r="D465" s="116"/>
      <c r="E465" s="116"/>
      <c r="F465" s="102"/>
      <c r="G465" s="102"/>
      <c r="H465" s="115"/>
      <c r="J465" s="104"/>
    </row>
    <row r="466" spans="1:10" x14ac:dyDescent="0.2">
      <c r="A466" s="103"/>
      <c r="B466" s="103"/>
      <c r="C466" s="116"/>
      <c r="D466" s="116"/>
      <c r="E466" s="116"/>
      <c r="F466" s="102"/>
      <c r="G466" s="102"/>
      <c r="H466" s="115"/>
      <c r="J466" s="104"/>
    </row>
    <row r="467" spans="1:10" x14ac:dyDescent="0.2">
      <c r="A467" s="103"/>
      <c r="B467" s="103"/>
      <c r="C467" s="116"/>
      <c r="D467" s="116"/>
      <c r="E467" s="116"/>
      <c r="F467" s="102"/>
      <c r="G467" s="102"/>
      <c r="H467" s="115"/>
      <c r="I467" s="104"/>
      <c r="J467" s="104"/>
    </row>
    <row r="468" spans="1:10" x14ac:dyDescent="0.2">
      <c r="A468" s="103"/>
      <c r="B468" s="103"/>
      <c r="C468" s="116"/>
      <c r="D468" s="116"/>
      <c r="E468" s="116"/>
      <c r="F468" s="102"/>
      <c r="G468" s="102"/>
      <c r="H468" s="115"/>
      <c r="I468" s="104"/>
      <c r="J468" s="104"/>
    </row>
    <row r="469" spans="1:10" x14ac:dyDescent="0.2">
      <c r="A469" s="103"/>
      <c r="B469" s="103"/>
      <c r="C469" s="116"/>
      <c r="D469" s="116"/>
      <c r="E469" s="116"/>
      <c r="F469" s="102"/>
      <c r="G469" s="102"/>
      <c r="H469" s="115"/>
      <c r="I469" s="104"/>
      <c r="J469" s="104"/>
    </row>
    <row r="470" spans="1:10" x14ac:dyDescent="0.2">
      <c r="A470" s="103"/>
      <c r="B470" s="103"/>
      <c r="C470" s="116"/>
      <c r="D470" s="116"/>
      <c r="E470" s="116"/>
      <c r="F470" s="102"/>
      <c r="G470" s="102"/>
      <c r="H470" s="115"/>
      <c r="I470" s="104"/>
      <c r="J470" s="104"/>
    </row>
    <row r="471" spans="1:10" x14ac:dyDescent="0.2">
      <c r="A471" s="103"/>
      <c r="B471" s="103"/>
      <c r="C471" s="116"/>
      <c r="D471" s="116"/>
      <c r="E471" s="116"/>
      <c r="F471" s="102"/>
      <c r="G471" s="102"/>
      <c r="H471" s="115"/>
      <c r="I471" s="104"/>
      <c r="J471" s="104"/>
    </row>
    <row r="472" spans="1:10" x14ac:dyDescent="0.2">
      <c r="A472" s="103"/>
      <c r="B472" s="103"/>
      <c r="C472" s="116"/>
      <c r="D472" s="116"/>
      <c r="E472" s="116"/>
      <c r="F472" s="102"/>
      <c r="G472" s="102"/>
      <c r="H472" s="115"/>
      <c r="I472" s="104"/>
      <c r="J472" s="104"/>
    </row>
    <row r="473" spans="1:10" x14ac:dyDescent="0.2">
      <c r="A473" s="103"/>
      <c r="B473" s="103"/>
      <c r="C473" s="116"/>
      <c r="D473" s="116"/>
      <c r="E473" s="116"/>
      <c r="F473" s="102"/>
      <c r="G473" s="102"/>
      <c r="H473" s="115"/>
      <c r="I473" s="104"/>
      <c r="J473" s="104"/>
    </row>
    <row r="474" spans="1:10" x14ac:dyDescent="0.2">
      <c r="A474" s="103"/>
      <c r="B474" s="103"/>
      <c r="C474" s="116"/>
      <c r="D474" s="116"/>
      <c r="E474" s="116"/>
      <c r="F474" s="102"/>
      <c r="G474" s="102"/>
      <c r="H474" s="115"/>
      <c r="I474" s="104"/>
      <c r="J474" s="104"/>
    </row>
    <row r="475" spans="1:10" x14ac:dyDescent="0.2">
      <c r="A475" s="103"/>
      <c r="B475" s="103"/>
      <c r="C475" s="116"/>
      <c r="D475" s="116"/>
      <c r="E475" s="116"/>
      <c r="F475" s="102"/>
      <c r="G475" s="102"/>
      <c r="H475" s="115"/>
      <c r="I475" s="104"/>
      <c r="J475" s="104"/>
    </row>
    <row r="476" spans="1:10" x14ac:dyDescent="0.2">
      <c r="A476" s="103"/>
      <c r="B476" s="103"/>
      <c r="C476" s="116"/>
      <c r="D476" s="116"/>
      <c r="E476" s="116"/>
      <c r="F476" s="102"/>
      <c r="G476" s="102"/>
      <c r="H476" s="115"/>
      <c r="I476" s="104"/>
      <c r="J476" s="104"/>
    </row>
    <row r="477" spans="1:10" x14ac:dyDescent="0.2">
      <c r="A477" s="103"/>
      <c r="B477" s="103"/>
      <c r="C477" s="116"/>
      <c r="D477" s="116"/>
      <c r="E477" s="116"/>
      <c r="F477" s="102"/>
      <c r="G477" s="102"/>
      <c r="H477" s="115"/>
      <c r="I477" s="104"/>
      <c r="J477" s="104"/>
    </row>
    <row r="478" spans="1:10" x14ac:dyDescent="0.2">
      <c r="A478" s="103"/>
      <c r="B478" s="103"/>
      <c r="C478" s="116"/>
      <c r="D478" s="116"/>
      <c r="E478" s="116"/>
      <c r="F478" s="102"/>
      <c r="G478" s="102"/>
      <c r="H478" s="115"/>
      <c r="I478" s="104"/>
      <c r="J478" s="104"/>
    </row>
    <row r="479" spans="1:10" x14ac:dyDescent="0.2">
      <c r="A479" s="103"/>
      <c r="B479" s="103"/>
      <c r="C479" s="116"/>
      <c r="D479" s="116"/>
      <c r="E479" s="116"/>
      <c r="F479" s="102"/>
      <c r="G479" s="102"/>
      <c r="H479" s="115"/>
      <c r="I479" s="104"/>
      <c r="J479" s="104"/>
    </row>
    <row r="480" spans="1:10" x14ac:dyDescent="0.2">
      <c r="A480" s="103"/>
      <c r="B480" s="103"/>
      <c r="C480" s="116"/>
      <c r="D480" s="116"/>
      <c r="E480" s="116"/>
      <c r="F480" s="102"/>
      <c r="G480" s="102"/>
      <c r="H480" s="115"/>
      <c r="I480" s="104"/>
      <c r="J480" s="104"/>
    </row>
    <row r="481" spans="1:10" x14ac:dyDescent="0.2">
      <c r="A481" s="103"/>
      <c r="B481" s="103"/>
      <c r="C481" s="116"/>
      <c r="D481" s="116"/>
      <c r="E481" s="116"/>
      <c r="F481" s="102"/>
      <c r="G481" s="102"/>
      <c r="H481" s="115"/>
      <c r="I481" s="104"/>
      <c r="J481" s="104"/>
    </row>
    <row r="482" spans="1:10" x14ac:dyDescent="0.2">
      <c r="A482" s="103"/>
      <c r="B482" s="103"/>
      <c r="C482" s="116"/>
      <c r="D482" s="116"/>
      <c r="E482" s="116"/>
      <c r="F482" s="102"/>
      <c r="G482" s="102"/>
      <c r="H482" s="115"/>
      <c r="I482" s="104"/>
      <c r="J482" s="104"/>
    </row>
    <row r="483" spans="1:10" x14ac:dyDescent="0.2">
      <c r="A483" s="103"/>
      <c r="B483" s="103"/>
      <c r="C483" s="116"/>
      <c r="D483" s="116"/>
      <c r="E483" s="116"/>
      <c r="F483" s="116"/>
      <c r="G483" s="116"/>
      <c r="H483" s="106"/>
      <c r="I483" s="104"/>
      <c r="J483" s="101"/>
    </row>
    <row r="484" spans="1:10" x14ac:dyDescent="0.2">
      <c r="A484" s="103"/>
      <c r="B484" s="103"/>
      <c r="C484" s="116"/>
      <c r="D484" s="116"/>
      <c r="E484" s="116"/>
      <c r="F484" s="102"/>
      <c r="G484" s="102"/>
      <c r="H484" s="115"/>
      <c r="J484" s="104"/>
    </row>
    <row r="485" spans="1:10" x14ac:dyDescent="0.2">
      <c r="A485" s="103"/>
      <c r="B485" s="103"/>
      <c r="C485" s="116"/>
      <c r="D485" s="116"/>
      <c r="E485" s="116"/>
      <c r="F485" s="102"/>
      <c r="G485" s="102"/>
      <c r="H485" s="115"/>
      <c r="J485" s="104"/>
    </row>
    <row r="486" spans="1:10" x14ac:dyDescent="0.2">
      <c r="A486" s="103"/>
      <c r="B486" s="103"/>
      <c r="C486" s="116"/>
      <c r="D486" s="116"/>
      <c r="E486" s="116"/>
      <c r="F486" s="102"/>
      <c r="G486" s="102"/>
      <c r="H486" s="115"/>
      <c r="J486" s="104"/>
    </row>
    <row r="487" spans="1:10" x14ac:dyDescent="0.2">
      <c r="A487" s="103"/>
      <c r="B487" s="103"/>
      <c r="C487" s="116"/>
      <c r="D487" s="116"/>
      <c r="E487" s="116"/>
      <c r="F487" s="102"/>
      <c r="G487" s="102"/>
      <c r="H487" s="115"/>
      <c r="J487" s="104"/>
    </row>
    <row r="488" spans="1:10" x14ac:dyDescent="0.2">
      <c r="A488" s="103"/>
      <c r="B488" s="103"/>
      <c r="C488" s="116"/>
      <c r="D488" s="116"/>
      <c r="E488" s="116"/>
      <c r="F488" s="102"/>
      <c r="G488" s="102"/>
      <c r="H488" s="115"/>
      <c r="J488" s="104"/>
    </row>
    <row r="489" spans="1:10" x14ac:dyDescent="0.2">
      <c r="A489" s="103"/>
      <c r="B489" s="103"/>
      <c r="C489" s="116"/>
      <c r="D489" s="116"/>
      <c r="E489" s="116"/>
      <c r="F489" s="102"/>
      <c r="G489" s="102"/>
      <c r="H489" s="115"/>
      <c r="J489" s="104"/>
    </row>
    <row r="490" spans="1:10" x14ac:dyDescent="0.2">
      <c r="A490" s="103"/>
      <c r="B490" s="103"/>
      <c r="C490" s="116"/>
      <c r="D490" s="116"/>
      <c r="E490" s="116"/>
      <c r="F490" s="102"/>
      <c r="G490" s="102"/>
      <c r="H490" s="115"/>
      <c r="J490" s="104"/>
    </row>
    <row r="491" spans="1:10" x14ac:dyDescent="0.2">
      <c r="A491" s="103"/>
      <c r="B491" s="103"/>
      <c r="C491" s="116"/>
      <c r="D491" s="116"/>
      <c r="E491" s="116"/>
      <c r="F491" s="102"/>
      <c r="G491" s="102"/>
      <c r="H491" s="115"/>
      <c r="J491" s="104"/>
    </row>
    <row r="492" spans="1:10" x14ac:dyDescent="0.2">
      <c r="A492" s="103"/>
      <c r="B492" s="103"/>
      <c r="C492" s="116"/>
      <c r="D492" s="116"/>
      <c r="E492" s="116"/>
      <c r="F492" s="102"/>
      <c r="G492" s="102"/>
      <c r="H492" s="115"/>
      <c r="J492" s="104"/>
    </row>
    <row r="493" spans="1:10" x14ac:dyDescent="0.2">
      <c r="A493" s="103"/>
      <c r="B493" s="103"/>
      <c r="C493" s="116"/>
      <c r="D493" s="116"/>
      <c r="E493" s="116"/>
      <c r="F493" s="102"/>
      <c r="G493" s="102"/>
      <c r="H493" s="115"/>
      <c r="J493" s="104"/>
    </row>
    <row r="494" spans="1:10" x14ac:dyDescent="0.2">
      <c r="A494" s="103"/>
      <c r="B494" s="103"/>
      <c r="C494" s="116"/>
      <c r="D494" s="116"/>
      <c r="E494" s="116"/>
      <c r="F494" s="102"/>
      <c r="G494" s="102"/>
      <c r="H494" s="115"/>
      <c r="J494" s="104"/>
    </row>
    <row r="495" spans="1:10" x14ac:dyDescent="0.2">
      <c r="A495" s="103"/>
      <c r="B495" s="103"/>
      <c r="C495" s="116"/>
      <c r="D495" s="116"/>
      <c r="E495" s="116"/>
      <c r="F495" s="102"/>
      <c r="G495" s="102"/>
      <c r="H495" s="115"/>
      <c r="J495" s="104"/>
    </row>
    <row r="496" spans="1:10" x14ac:dyDescent="0.2">
      <c r="A496" s="103"/>
      <c r="B496" s="103"/>
      <c r="C496" s="116"/>
      <c r="D496" s="116"/>
      <c r="E496" s="116"/>
      <c r="F496" s="102"/>
      <c r="G496" s="102"/>
      <c r="H496" s="115"/>
      <c r="J496" s="104"/>
    </row>
    <row r="497" spans="1:10" x14ac:dyDescent="0.2">
      <c r="A497" s="103"/>
      <c r="B497" s="103"/>
      <c r="C497" s="116"/>
      <c r="D497" s="116"/>
      <c r="E497" s="116"/>
      <c r="F497" s="102"/>
      <c r="G497" s="102"/>
      <c r="H497" s="115"/>
      <c r="J497" s="104"/>
    </row>
    <row r="498" spans="1:10" x14ac:dyDescent="0.2">
      <c r="A498" s="103"/>
      <c r="B498" s="103"/>
      <c r="C498" s="116"/>
      <c r="D498" s="116"/>
      <c r="E498" s="116"/>
      <c r="F498" s="102"/>
      <c r="G498" s="102"/>
      <c r="H498" s="115"/>
      <c r="J498" s="104"/>
    </row>
    <row r="499" spans="1:10" x14ac:dyDescent="0.2">
      <c r="A499" s="103"/>
      <c r="B499" s="103"/>
      <c r="C499" s="116"/>
      <c r="D499" s="116"/>
      <c r="E499" s="116"/>
      <c r="F499" s="102"/>
      <c r="G499" s="102"/>
      <c r="H499" s="115"/>
      <c r="I499" s="104"/>
      <c r="J499" s="104"/>
    </row>
    <row r="500" spans="1:10" x14ac:dyDescent="0.2">
      <c r="A500" s="103"/>
      <c r="B500" s="103"/>
      <c r="C500" s="116"/>
      <c r="D500" s="116"/>
      <c r="E500" s="116"/>
      <c r="F500" s="102"/>
      <c r="G500" s="102"/>
      <c r="H500" s="115"/>
      <c r="I500" s="104"/>
      <c r="J500" s="104"/>
    </row>
    <row r="501" spans="1:10" x14ac:dyDescent="0.2">
      <c r="A501" s="103"/>
      <c r="B501" s="103"/>
      <c r="C501" s="116"/>
      <c r="D501" s="116"/>
      <c r="E501" s="116"/>
      <c r="F501" s="102"/>
      <c r="G501" s="102"/>
      <c r="H501" s="115"/>
      <c r="I501" s="104"/>
      <c r="J501" s="104"/>
    </row>
    <row r="502" spans="1:10" x14ac:dyDescent="0.2">
      <c r="A502" s="103"/>
      <c r="B502" s="103"/>
      <c r="C502" s="116"/>
      <c r="D502" s="116"/>
      <c r="E502" s="116"/>
      <c r="F502" s="102"/>
      <c r="G502" s="102"/>
      <c r="H502" s="115"/>
      <c r="I502" s="104"/>
      <c r="J502" s="104"/>
    </row>
    <row r="503" spans="1:10" x14ac:dyDescent="0.2">
      <c r="A503" s="103"/>
      <c r="B503" s="103"/>
      <c r="C503" s="116"/>
      <c r="D503" s="116"/>
      <c r="E503" s="116"/>
      <c r="F503" s="102"/>
      <c r="G503" s="102"/>
      <c r="H503" s="115"/>
      <c r="I503" s="104"/>
      <c r="J503" s="104"/>
    </row>
    <row r="504" spans="1:10" x14ac:dyDescent="0.2">
      <c r="A504" s="103"/>
      <c r="B504" s="103"/>
      <c r="C504" s="116"/>
      <c r="D504" s="116"/>
      <c r="E504" s="116"/>
      <c r="F504" s="102"/>
      <c r="G504" s="102"/>
      <c r="H504" s="115"/>
      <c r="I504" s="104"/>
      <c r="J504" s="104"/>
    </row>
    <row r="505" spans="1:10" x14ac:dyDescent="0.2">
      <c r="A505" s="103"/>
      <c r="B505" s="103"/>
      <c r="C505" s="116"/>
      <c r="D505" s="116"/>
      <c r="E505" s="116"/>
      <c r="F505" s="102"/>
      <c r="G505" s="102"/>
      <c r="H505" s="115"/>
      <c r="I505" s="104"/>
      <c r="J505" s="104"/>
    </row>
    <row r="506" spans="1:10" x14ac:dyDescent="0.2">
      <c r="A506" s="103"/>
      <c r="B506" s="103"/>
      <c r="C506" s="116"/>
      <c r="D506" s="116"/>
      <c r="E506" s="116"/>
      <c r="F506" s="102"/>
      <c r="G506" s="102"/>
      <c r="H506" s="115"/>
      <c r="I506" s="104"/>
      <c r="J506" s="104"/>
    </row>
    <row r="507" spans="1:10" x14ac:dyDescent="0.2">
      <c r="A507" s="103"/>
      <c r="B507" s="103"/>
      <c r="C507" s="116"/>
      <c r="D507" s="116"/>
      <c r="E507" s="116"/>
      <c r="F507" s="102"/>
      <c r="G507" s="102"/>
      <c r="H507" s="115"/>
      <c r="I507" s="104"/>
      <c r="J507" s="104"/>
    </row>
    <row r="508" spans="1:10" x14ac:dyDescent="0.2">
      <c r="A508" s="103"/>
      <c r="B508" s="103"/>
      <c r="C508" s="116"/>
      <c r="D508" s="116"/>
      <c r="E508" s="116"/>
      <c r="F508" s="102"/>
      <c r="G508" s="102"/>
      <c r="H508" s="115"/>
      <c r="I508" s="104"/>
      <c r="J508" s="104"/>
    </row>
    <row r="509" spans="1:10" x14ac:dyDescent="0.2">
      <c r="A509" s="103"/>
      <c r="B509" s="103"/>
      <c r="C509" s="116"/>
      <c r="D509" s="116"/>
      <c r="E509" s="116"/>
      <c r="F509" s="102"/>
      <c r="G509" s="102"/>
      <c r="H509" s="115"/>
      <c r="I509" s="104"/>
      <c r="J509" s="104"/>
    </row>
    <row r="510" spans="1:10" x14ac:dyDescent="0.2">
      <c r="A510" s="103"/>
      <c r="B510" s="103"/>
      <c r="C510" s="116"/>
      <c r="D510" s="116"/>
      <c r="E510" s="116"/>
      <c r="F510" s="102"/>
      <c r="G510" s="102"/>
      <c r="H510" s="115"/>
      <c r="I510" s="104"/>
      <c r="J510" s="104"/>
    </row>
    <row r="511" spans="1:10" x14ac:dyDescent="0.2">
      <c r="A511" s="103"/>
      <c r="B511" s="103"/>
      <c r="C511" s="116"/>
      <c r="D511" s="116"/>
      <c r="E511" s="116"/>
      <c r="F511" s="102"/>
      <c r="G511" s="102"/>
      <c r="H511" s="115"/>
      <c r="I511" s="104"/>
      <c r="J511" s="104"/>
    </row>
    <row r="512" spans="1:10" x14ac:dyDescent="0.2">
      <c r="A512" s="103"/>
      <c r="B512" s="103"/>
      <c r="C512" s="116"/>
      <c r="D512" s="116"/>
      <c r="E512" s="116"/>
      <c r="F512" s="102"/>
      <c r="G512" s="102"/>
      <c r="H512" s="115"/>
      <c r="I512" s="104"/>
      <c r="J512" s="104"/>
    </row>
    <row r="513" spans="3:9" x14ac:dyDescent="0.2">
      <c r="C513" s="24"/>
      <c r="D513" s="24"/>
      <c r="F513" s="27"/>
      <c r="G513" s="28"/>
      <c r="H513" s="43"/>
      <c r="I513" s="45"/>
    </row>
    <row r="514" spans="3:9" x14ac:dyDescent="0.2">
      <c r="C514" s="24"/>
      <c r="D514" s="24"/>
      <c r="F514" s="27"/>
      <c r="G514" s="28"/>
      <c r="I514" s="45"/>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98">
    <mergeCell ref="I155:I161"/>
    <mergeCell ref="I167:I168"/>
    <mergeCell ref="G100:G117"/>
    <mergeCell ref="H100:H117"/>
    <mergeCell ref="H124:H140"/>
    <mergeCell ref="I118:I121"/>
    <mergeCell ref="G124:G140"/>
    <mergeCell ref="E124:E140"/>
    <mergeCell ref="F124:F140"/>
    <mergeCell ref="F100:F117"/>
    <mergeCell ref="D100:D117"/>
    <mergeCell ref="D124:D140"/>
    <mergeCell ref="E100:E117"/>
    <mergeCell ref="A100:A117"/>
    <mergeCell ref="A124:A140"/>
    <mergeCell ref="B100:B117"/>
    <mergeCell ref="C124:C140"/>
    <mergeCell ref="B124:B140"/>
    <mergeCell ref="C100:C117"/>
    <mergeCell ref="J2:J3"/>
    <mergeCell ref="J13:J15"/>
    <mergeCell ref="J19:J21"/>
    <mergeCell ref="J8:J9"/>
    <mergeCell ref="I90:I93"/>
    <mergeCell ref="J90:J91"/>
    <mergeCell ref="I43:I59"/>
    <mergeCell ref="I76:I81"/>
    <mergeCell ref="I62:I72"/>
    <mergeCell ref="J84:J88"/>
    <mergeCell ref="I84:I88"/>
    <mergeCell ref="J92:J93"/>
    <mergeCell ref="H2:H3"/>
    <mergeCell ref="I2:I3"/>
    <mergeCell ref="A2:A3"/>
    <mergeCell ref="D2:D3"/>
    <mergeCell ref="C1:H1"/>
    <mergeCell ref="C2:C3"/>
    <mergeCell ref="E2:E3"/>
    <mergeCell ref="F2:F3"/>
    <mergeCell ref="B2:B3"/>
    <mergeCell ref="G2:G3"/>
    <mergeCell ref="J335:J336"/>
    <mergeCell ref="J267:J270"/>
    <mergeCell ref="I279:I282"/>
    <mergeCell ref="J331:J334"/>
    <mergeCell ref="J251:J252"/>
    <mergeCell ref="I256:I259"/>
    <mergeCell ref="I331:I334"/>
    <mergeCell ref="J294:J306"/>
    <mergeCell ref="I294:I306"/>
    <mergeCell ref="I273:I276"/>
    <mergeCell ref="I267:I270"/>
    <mergeCell ref="R245:R251"/>
    <mergeCell ref="I180:I184"/>
    <mergeCell ref="I212:I213"/>
    <mergeCell ref="I230:I231"/>
    <mergeCell ref="I251:I252"/>
    <mergeCell ref="I223:I227"/>
    <mergeCell ref="J230:J231"/>
    <mergeCell ref="I245:I248"/>
    <mergeCell ref="J245:J248"/>
    <mergeCell ref="I219:I220"/>
    <mergeCell ref="I204:I210"/>
    <mergeCell ref="I186:I187"/>
    <mergeCell ref="I200:I201"/>
    <mergeCell ref="J204:J210"/>
    <mergeCell ref="I241:I242"/>
    <mergeCell ref="J223:J227"/>
    <mergeCell ref="Q19:Q21"/>
    <mergeCell ref="J100:J117"/>
    <mergeCell ref="Q142:Q147"/>
    <mergeCell ref="J186:J187"/>
    <mergeCell ref="J180:J184"/>
    <mergeCell ref="J62:J72"/>
    <mergeCell ref="J118:J119"/>
    <mergeCell ref="J43:J59"/>
    <mergeCell ref="J124:J140"/>
    <mergeCell ref="J171:J177"/>
    <mergeCell ref="J155:J161"/>
    <mergeCell ref="J120:J121"/>
    <mergeCell ref="J167:J168"/>
    <mergeCell ref="J143:J147"/>
    <mergeCell ref="I171:I177"/>
    <mergeCell ref="Q331:Q334"/>
    <mergeCell ref="Q245:Q251"/>
    <mergeCell ref="J273:J276"/>
    <mergeCell ref="Q267:Q270"/>
    <mergeCell ref="Q273:Q276"/>
    <mergeCell ref="I285:I288"/>
    <mergeCell ref="J285:J288"/>
    <mergeCell ref="J256:J259"/>
    <mergeCell ref="J212:J213"/>
    <mergeCell ref="J279:J282"/>
    <mergeCell ref="I261:I264"/>
    <mergeCell ref="J261:J264"/>
    <mergeCell ref="J200:J201"/>
    <mergeCell ref="J219:J220"/>
    <mergeCell ref="J241:J242"/>
  </mergeCells>
  <phoneticPr fontId="13" type="noConversion"/>
  <printOptions gridLines="1"/>
  <pageMargins left="0.5" right="0.5" top="0.46" bottom="0.5" header="0.27" footer="0.23"/>
  <pageSetup scale="52" fitToHeight="0" orientation="landscape" r:id="rId6"/>
  <headerFooter alignWithMargins="0">
    <oddFooter>&amp;LK = Key Verification          F = Fall            &amp;S&amp;KFF0000   C = Corrections&amp;S&amp;K000000
E = Equating                    S = Summer        M = Merge                    
O = Spring Operational&amp;CPage &amp;P of &amp;N&amp;RLast Saved Date: 2/26/2015 1:22:09 PM</oddFooter>
  </headerFooter>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65"/>
  <sheetViews>
    <sheetView topLeftCell="A258" workbookViewId="0">
      <selection activeCell="A266" sqref="A266"/>
    </sheetView>
  </sheetViews>
  <sheetFormatPr defaultRowHeight="12.75" x14ac:dyDescent="0.2"/>
  <cols>
    <col min="1" max="1" width="11.28515625" style="12" customWidth="1"/>
    <col min="2" max="2" width="65.85546875" style="20" customWidth="1"/>
    <col min="3" max="3" width="16.42578125" style="12" customWidth="1"/>
    <col min="4" max="4" width="9.140625" style="2"/>
    <col min="5" max="5" width="9.140625" style="2" customWidth="1"/>
    <col min="6" max="16384" width="9.140625" style="2"/>
  </cols>
  <sheetData>
    <row r="1" spans="1:4" ht="30" customHeight="1" x14ac:dyDescent="0.2">
      <c r="A1" s="173" t="s">
        <v>26</v>
      </c>
      <c r="B1" s="173"/>
      <c r="C1" s="173"/>
    </row>
    <row r="2" spans="1:4" ht="25.5" x14ac:dyDescent="0.2">
      <c r="A2" s="6" t="s">
        <v>27</v>
      </c>
      <c r="B2" s="16" t="s">
        <v>28</v>
      </c>
      <c r="C2" s="6" t="s">
        <v>29</v>
      </c>
      <c r="D2" s="3"/>
    </row>
    <row r="3" spans="1:4" x14ac:dyDescent="0.2">
      <c r="A3" s="13">
        <v>38973</v>
      </c>
      <c r="B3" s="17" t="s">
        <v>251</v>
      </c>
      <c r="C3" s="6" t="s">
        <v>37</v>
      </c>
      <c r="D3" s="3"/>
    </row>
    <row r="4" spans="1:4" ht="38.25" x14ac:dyDescent="0.2">
      <c r="A4" s="13">
        <v>38753</v>
      </c>
      <c r="B4" s="17" t="s">
        <v>250</v>
      </c>
      <c r="C4" s="6" t="s">
        <v>37</v>
      </c>
      <c r="D4" s="3"/>
    </row>
    <row r="5" spans="1:4" ht="38.25" x14ac:dyDescent="0.2">
      <c r="A5" s="13">
        <v>39160</v>
      </c>
      <c r="B5" s="17" t="s">
        <v>249</v>
      </c>
      <c r="C5" s="6" t="s">
        <v>37</v>
      </c>
      <c r="D5" s="3"/>
    </row>
    <row r="6" spans="1:4" ht="25.5" x14ac:dyDescent="0.2">
      <c r="A6" s="13">
        <v>39164</v>
      </c>
      <c r="B6" s="17" t="s">
        <v>248</v>
      </c>
      <c r="C6" s="6" t="s">
        <v>37</v>
      </c>
      <c r="D6" s="3"/>
    </row>
    <row r="7" spans="1:4" ht="38.25" x14ac:dyDescent="0.2">
      <c r="A7" s="13">
        <v>39164</v>
      </c>
      <c r="B7" s="17" t="s">
        <v>247</v>
      </c>
      <c r="C7" s="6"/>
      <c r="D7" s="3"/>
    </row>
    <row r="8" spans="1:4" x14ac:dyDescent="0.2">
      <c r="A8" s="13">
        <v>39164</v>
      </c>
      <c r="B8" s="17" t="s">
        <v>246</v>
      </c>
      <c r="C8" s="6"/>
      <c r="D8" s="3"/>
    </row>
    <row r="9" spans="1:4" ht="25.5" x14ac:dyDescent="0.2">
      <c r="A9" s="13">
        <v>39164</v>
      </c>
      <c r="B9" s="17" t="s">
        <v>245</v>
      </c>
      <c r="C9" s="6"/>
      <c r="D9" s="3"/>
    </row>
    <row r="10" spans="1:4" x14ac:dyDescent="0.2">
      <c r="A10" s="13">
        <v>39164</v>
      </c>
      <c r="B10" s="17" t="s">
        <v>244</v>
      </c>
      <c r="C10" s="6"/>
      <c r="D10" s="3"/>
    </row>
    <row r="11" spans="1:4" ht="38.25" x14ac:dyDescent="0.2">
      <c r="A11" s="13">
        <v>39176</v>
      </c>
      <c r="B11" s="17" t="s">
        <v>243</v>
      </c>
      <c r="C11" s="6" t="s">
        <v>38</v>
      </c>
      <c r="D11" s="3"/>
    </row>
    <row r="12" spans="1:4" x14ac:dyDescent="0.2">
      <c r="A12" s="13">
        <v>39182</v>
      </c>
      <c r="B12" s="17" t="s">
        <v>242</v>
      </c>
      <c r="C12" s="6" t="s">
        <v>37</v>
      </c>
      <c r="D12" s="3"/>
    </row>
    <row r="13" spans="1:4" x14ac:dyDescent="0.2">
      <c r="A13" s="13">
        <v>39182</v>
      </c>
      <c r="B13" s="17" t="s">
        <v>241</v>
      </c>
      <c r="C13" s="6"/>
      <c r="D13" s="3"/>
    </row>
    <row r="14" spans="1:4" ht="25.5" x14ac:dyDescent="0.2">
      <c r="A14" s="13">
        <v>39184</v>
      </c>
      <c r="B14" s="17" t="s">
        <v>240</v>
      </c>
      <c r="C14" s="6" t="s">
        <v>31</v>
      </c>
      <c r="D14" s="3"/>
    </row>
    <row r="15" spans="1:4" ht="25.5" x14ac:dyDescent="0.2">
      <c r="A15" s="13">
        <v>39184</v>
      </c>
      <c r="B15" s="17" t="s">
        <v>239</v>
      </c>
      <c r="C15" s="6" t="s">
        <v>38</v>
      </c>
      <c r="D15" s="3"/>
    </row>
    <row r="16" spans="1:4" ht="25.5" x14ac:dyDescent="0.2">
      <c r="A16" s="13">
        <v>39184</v>
      </c>
      <c r="B16" s="17" t="s">
        <v>238</v>
      </c>
      <c r="C16" s="6" t="s">
        <v>38</v>
      </c>
      <c r="D16" s="3"/>
    </row>
    <row r="17" spans="1:4" x14ac:dyDescent="0.2">
      <c r="A17" s="13">
        <v>39184</v>
      </c>
      <c r="B17" s="17" t="s">
        <v>237</v>
      </c>
      <c r="C17" s="6" t="s">
        <v>38</v>
      </c>
      <c r="D17" s="3"/>
    </row>
    <row r="18" spans="1:4" ht="25.5" x14ac:dyDescent="0.2">
      <c r="A18" s="13">
        <v>39186</v>
      </c>
      <c r="B18" s="17" t="s">
        <v>236</v>
      </c>
      <c r="C18" s="6" t="s">
        <v>38</v>
      </c>
      <c r="D18" s="3"/>
    </row>
    <row r="19" spans="1:4" ht="25.5" x14ac:dyDescent="0.2">
      <c r="A19" s="13">
        <v>39192</v>
      </c>
      <c r="B19" s="17" t="s">
        <v>235</v>
      </c>
      <c r="C19" s="6" t="s">
        <v>31</v>
      </c>
      <c r="D19" s="3"/>
    </row>
    <row r="20" spans="1:4" ht="38.25" x14ac:dyDescent="0.2">
      <c r="A20" s="13">
        <v>39204</v>
      </c>
      <c r="B20" s="17" t="s">
        <v>234</v>
      </c>
      <c r="C20" s="6" t="s">
        <v>38</v>
      </c>
      <c r="D20" s="3"/>
    </row>
    <row r="21" spans="1:4" s="4" customFormat="1" ht="13.5" customHeight="1" x14ac:dyDescent="0.2">
      <c r="A21" s="14">
        <v>39461</v>
      </c>
      <c r="B21" s="18" t="s">
        <v>233</v>
      </c>
      <c r="C21" s="7" t="s">
        <v>31</v>
      </c>
    </row>
    <row r="22" spans="1:4" ht="38.25" x14ac:dyDescent="0.2">
      <c r="A22" s="14">
        <v>39463</v>
      </c>
      <c r="B22" s="18" t="s">
        <v>232</v>
      </c>
      <c r="C22" s="7" t="s">
        <v>31</v>
      </c>
    </row>
    <row r="23" spans="1:4" ht="25.5" x14ac:dyDescent="0.2">
      <c r="A23" s="14">
        <v>39463</v>
      </c>
      <c r="B23" s="18" t="s">
        <v>231</v>
      </c>
      <c r="C23" s="7" t="s">
        <v>31</v>
      </c>
    </row>
    <row r="24" spans="1:4" ht="25.5" x14ac:dyDescent="0.2">
      <c r="A24" s="14">
        <v>39463</v>
      </c>
      <c r="B24" s="18" t="s">
        <v>230</v>
      </c>
      <c r="C24" s="7" t="s">
        <v>31</v>
      </c>
    </row>
    <row r="25" spans="1:4" ht="25.5" x14ac:dyDescent="0.2">
      <c r="A25" s="14">
        <v>39464</v>
      </c>
      <c r="B25" s="18" t="s">
        <v>229</v>
      </c>
      <c r="C25" s="7" t="s">
        <v>31</v>
      </c>
    </row>
    <row r="26" spans="1:4" ht="38.25" x14ac:dyDescent="0.2">
      <c r="A26" s="14">
        <v>39465</v>
      </c>
      <c r="B26" s="18" t="s">
        <v>228</v>
      </c>
      <c r="C26" s="7" t="s">
        <v>31</v>
      </c>
    </row>
    <row r="27" spans="1:4" ht="25.5" x14ac:dyDescent="0.2">
      <c r="A27" s="14">
        <v>39463</v>
      </c>
      <c r="B27" s="18" t="s">
        <v>227</v>
      </c>
      <c r="C27" s="7" t="s">
        <v>31</v>
      </c>
    </row>
    <row r="28" spans="1:4" ht="25.5" x14ac:dyDescent="0.2">
      <c r="A28" s="15">
        <v>39463</v>
      </c>
      <c r="B28" s="19" t="s">
        <v>226</v>
      </c>
      <c r="C28" s="8" t="s">
        <v>31</v>
      </c>
    </row>
    <row r="29" spans="1:4" ht="51" x14ac:dyDescent="0.2">
      <c r="A29" s="15">
        <v>39463</v>
      </c>
      <c r="B29" s="19" t="s">
        <v>225</v>
      </c>
      <c r="C29" s="8" t="s">
        <v>31</v>
      </c>
    </row>
    <row r="30" spans="1:4" ht="25.5" x14ac:dyDescent="0.2">
      <c r="A30" s="15">
        <v>39464</v>
      </c>
      <c r="B30" s="19" t="s">
        <v>224</v>
      </c>
      <c r="C30" s="8" t="s">
        <v>31</v>
      </c>
    </row>
    <row r="31" spans="1:4" ht="25.5" x14ac:dyDescent="0.2">
      <c r="A31" s="15">
        <v>39467</v>
      </c>
      <c r="B31" s="19" t="s">
        <v>223</v>
      </c>
      <c r="C31" s="8" t="s">
        <v>31</v>
      </c>
    </row>
    <row r="32" spans="1:4" ht="63.75" x14ac:dyDescent="0.2">
      <c r="A32" s="15">
        <v>39468</v>
      </c>
      <c r="B32" s="19" t="s">
        <v>222</v>
      </c>
      <c r="C32" s="8" t="s">
        <v>31</v>
      </c>
    </row>
    <row r="33" spans="1:3" ht="25.5" x14ac:dyDescent="0.2">
      <c r="A33" s="15">
        <v>39478</v>
      </c>
      <c r="B33" s="19" t="s">
        <v>221</v>
      </c>
      <c r="C33" s="8" t="s">
        <v>31</v>
      </c>
    </row>
    <row r="34" spans="1:3" ht="25.5" x14ac:dyDescent="0.2">
      <c r="A34" s="15">
        <v>39672</v>
      </c>
      <c r="B34" s="19" t="s">
        <v>220</v>
      </c>
      <c r="C34" s="8" t="s">
        <v>31</v>
      </c>
    </row>
    <row r="35" spans="1:3" x14ac:dyDescent="0.2">
      <c r="A35" s="15">
        <v>39840</v>
      </c>
      <c r="B35" s="19" t="s">
        <v>219</v>
      </c>
      <c r="C35" s="8" t="s">
        <v>31</v>
      </c>
    </row>
    <row r="36" spans="1:3" x14ac:dyDescent="0.2">
      <c r="A36" s="15">
        <v>39840</v>
      </c>
      <c r="B36" s="19" t="s">
        <v>218</v>
      </c>
      <c r="C36" s="8" t="s">
        <v>31</v>
      </c>
    </row>
    <row r="37" spans="1:3" ht="25.5" x14ac:dyDescent="0.2">
      <c r="A37" s="15">
        <v>39840</v>
      </c>
      <c r="B37" s="19" t="s">
        <v>217</v>
      </c>
      <c r="C37" s="8" t="s">
        <v>31</v>
      </c>
    </row>
    <row r="38" spans="1:3" ht="25.5" x14ac:dyDescent="0.2">
      <c r="A38" s="15">
        <v>39840</v>
      </c>
      <c r="B38" s="19" t="s">
        <v>216</v>
      </c>
      <c r="C38" s="8" t="s">
        <v>31</v>
      </c>
    </row>
    <row r="39" spans="1:3" x14ac:dyDescent="0.2">
      <c r="A39" s="15">
        <v>39840</v>
      </c>
      <c r="B39" s="19" t="s">
        <v>215</v>
      </c>
      <c r="C39" s="8" t="s">
        <v>31</v>
      </c>
    </row>
    <row r="40" spans="1:3" x14ac:dyDescent="0.2">
      <c r="A40" s="15">
        <v>39840</v>
      </c>
      <c r="B40" s="19" t="s">
        <v>214</v>
      </c>
      <c r="C40" s="8" t="s">
        <v>31</v>
      </c>
    </row>
    <row r="41" spans="1:3" x14ac:dyDescent="0.2">
      <c r="A41" s="15">
        <v>39840</v>
      </c>
      <c r="B41" s="19" t="s">
        <v>213</v>
      </c>
      <c r="C41" s="8" t="s">
        <v>31</v>
      </c>
    </row>
    <row r="42" spans="1:3" ht="25.5" x14ac:dyDescent="0.2">
      <c r="A42" s="15">
        <v>39840</v>
      </c>
      <c r="B42" s="19" t="s">
        <v>212</v>
      </c>
      <c r="C42" s="8" t="s">
        <v>31</v>
      </c>
    </row>
    <row r="43" spans="1:3" x14ac:dyDescent="0.2">
      <c r="A43" s="15">
        <v>39840</v>
      </c>
      <c r="B43" s="19" t="s">
        <v>211</v>
      </c>
      <c r="C43" s="8" t="s">
        <v>31</v>
      </c>
    </row>
    <row r="44" spans="1:3" ht="25.5" x14ac:dyDescent="0.2">
      <c r="A44" s="14">
        <v>39853</v>
      </c>
      <c r="B44" s="18" t="s">
        <v>210</v>
      </c>
      <c r="C44" s="7" t="s">
        <v>31</v>
      </c>
    </row>
    <row r="45" spans="1:3" x14ac:dyDescent="0.2">
      <c r="A45" s="14">
        <v>39853</v>
      </c>
      <c r="B45" s="18" t="s">
        <v>209</v>
      </c>
      <c r="C45" s="7" t="s">
        <v>31</v>
      </c>
    </row>
    <row r="46" spans="1:3" ht="30" customHeight="1" x14ac:dyDescent="0.2">
      <c r="A46" s="14">
        <v>39855</v>
      </c>
      <c r="B46" s="18" t="s">
        <v>208</v>
      </c>
      <c r="C46" s="7" t="s">
        <v>31</v>
      </c>
    </row>
    <row r="47" spans="1:3" x14ac:dyDescent="0.2">
      <c r="A47" s="14">
        <v>39856</v>
      </c>
      <c r="B47" s="18" t="s">
        <v>207</v>
      </c>
      <c r="C47" s="7" t="s">
        <v>31</v>
      </c>
    </row>
    <row r="48" spans="1:3" ht="36.75" customHeight="1" x14ac:dyDescent="0.2">
      <c r="A48" s="14">
        <v>39856</v>
      </c>
      <c r="B48" s="18" t="s">
        <v>206</v>
      </c>
      <c r="C48" s="7" t="s">
        <v>31</v>
      </c>
    </row>
    <row r="49" spans="1:3" ht="25.5" x14ac:dyDescent="0.2">
      <c r="A49" s="14">
        <v>39856</v>
      </c>
      <c r="B49" s="18" t="s">
        <v>205</v>
      </c>
      <c r="C49" s="7" t="s">
        <v>31</v>
      </c>
    </row>
    <row r="50" spans="1:3" ht="25.5" x14ac:dyDescent="0.2">
      <c r="A50" s="14">
        <v>39863</v>
      </c>
      <c r="B50" s="18" t="s">
        <v>204</v>
      </c>
      <c r="C50" s="7" t="s">
        <v>31</v>
      </c>
    </row>
    <row r="51" spans="1:3" ht="38.25" x14ac:dyDescent="0.2">
      <c r="A51" s="14">
        <v>39918</v>
      </c>
      <c r="B51" s="18" t="s">
        <v>203</v>
      </c>
      <c r="C51" s="7" t="s">
        <v>31</v>
      </c>
    </row>
    <row r="52" spans="1:3" ht="38.25" x14ac:dyDescent="0.2">
      <c r="A52" s="14">
        <v>39919</v>
      </c>
      <c r="B52" s="18" t="s">
        <v>202</v>
      </c>
      <c r="C52" s="7" t="s">
        <v>31</v>
      </c>
    </row>
    <row r="53" spans="1:3" ht="25.5" x14ac:dyDescent="0.2">
      <c r="A53" s="14">
        <v>39951</v>
      </c>
      <c r="B53" s="18" t="s">
        <v>201</v>
      </c>
      <c r="C53" s="7" t="s">
        <v>31</v>
      </c>
    </row>
    <row r="54" spans="1:3" ht="38.25" x14ac:dyDescent="0.2">
      <c r="A54" s="14">
        <v>40168</v>
      </c>
      <c r="B54" s="18" t="s">
        <v>200</v>
      </c>
      <c r="C54" s="9" t="s">
        <v>31</v>
      </c>
    </row>
    <row r="55" spans="1:3" ht="38.25" x14ac:dyDescent="0.2">
      <c r="A55" s="14">
        <v>40163</v>
      </c>
      <c r="B55" s="18" t="s">
        <v>199</v>
      </c>
      <c r="C55" s="9" t="s">
        <v>31</v>
      </c>
    </row>
    <row r="56" spans="1:3" ht="25.5" x14ac:dyDescent="0.2">
      <c r="A56" s="14">
        <v>40163</v>
      </c>
      <c r="B56" s="18" t="s">
        <v>198</v>
      </c>
      <c r="C56" s="9" t="s">
        <v>31</v>
      </c>
    </row>
    <row r="57" spans="1:3" ht="51" x14ac:dyDescent="0.2">
      <c r="A57" s="14">
        <v>40163</v>
      </c>
      <c r="B57" s="18" t="s">
        <v>197</v>
      </c>
      <c r="C57" s="9" t="s">
        <v>31</v>
      </c>
    </row>
    <row r="58" spans="1:3" ht="25.5" x14ac:dyDescent="0.2">
      <c r="A58" s="14">
        <v>40168</v>
      </c>
      <c r="B58" s="18" t="s">
        <v>196</v>
      </c>
      <c r="C58" s="9" t="s">
        <v>31</v>
      </c>
    </row>
    <row r="59" spans="1:3" ht="25.5" x14ac:dyDescent="0.2">
      <c r="A59" s="14">
        <v>40163</v>
      </c>
      <c r="B59" s="18" t="s">
        <v>195</v>
      </c>
      <c r="C59" s="10" t="s">
        <v>31</v>
      </c>
    </row>
    <row r="60" spans="1:3" ht="38.25" x14ac:dyDescent="0.2">
      <c r="A60" s="14">
        <v>40168</v>
      </c>
      <c r="B60" s="18" t="s">
        <v>194</v>
      </c>
      <c r="C60" s="10" t="s">
        <v>31</v>
      </c>
    </row>
    <row r="61" spans="1:3" ht="25.5" x14ac:dyDescent="0.2">
      <c r="A61" s="14">
        <v>40163</v>
      </c>
      <c r="B61" s="18" t="s">
        <v>193</v>
      </c>
      <c r="C61" s="10" t="s">
        <v>31</v>
      </c>
    </row>
    <row r="62" spans="1:3" ht="25.5" x14ac:dyDescent="0.2">
      <c r="A62" s="14">
        <v>40168</v>
      </c>
      <c r="B62" s="18" t="s">
        <v>192</v>
      </c>
      <c r="C62" s="10" t="s">
        <v>31</v>
      </c>
    </row>
    <row r="63" spans="1:3" x14ac:dyDescent="0.2">
      <c r="A63" s="14">
        <v>40163</v>
      </c>
      <c r="B63" s="18" t="s">
        <v>191</v>
      </c>
      <c r="C63" s="10" t="s">
        <v>31</v>
      </c>
    </row>
    <row r="64" spans="1:3" ht="38.25" x14ac:dyDescent="0.2">
      <c r="A64" s="14">
        <v>40168</v>
      </c>
      <c r="B64" s="18" t="s">
        <v>190</v>
      </c>
      <c r="C64" s="10" t="s">
        <v>31</v>
      </c>
    </row>
    <row r="65" spans="1:3" ht="38.25" x14ac:dyDescent="0.2">
      <c r="A65" s="14">
        <v>40168</v>
      </c>
      <c r="B65" s="18" t="s">
        <v>189</v>
      </c>
      <c r="C65" s="10" t="s">
        <v>31</v>
      </c>
    </row>
    <row r="66" spans="1:3" ht="25.5" x14ac:dyDescent="0.2">
      <c r="A66" s="14">
        <v>40163</v>
      </c>
      <c r="B66" s="18" t="s">
        <v>188</v>
      </c>
      <c r="C66" s="10" t="s">
        <v>31</v>
      </c>
    </row>
    <row r="67" spans="1:3" ht="25.5" x14ac:dyDescent="0.2">
      <c r="A67" s="14">
        <v>40163</v>
      </c>
      <c r="B67" s="18" t="s">
        <v>187</v>
      </c>
      <c r="C67" s="10" t="s">
        <v>31</v>
      </c>
    </row>
    <row r="68" spans="1:3" ht="38.25" x14ac:dyDescent="0.2">
      <c r="A68" s="14">
        <v>40168</v>
      </c>
      <c r="B68" s="18" t="s">
        <v>186</v>
      </c>
      <c r="C68" s="10" t="s">
        <v>31</v>
      </c>
    </row>
    <row r="69" spans="1:3" ht="25.5" x14ac:dyDescent="0.2">
      <c r="A69" s="14">
        <v>40168</v>
      </c>
      <c r="B69" s="18" t="s">
        <v>185</v>
      </c>
      <c r="C69" s="11" t="s">
        <v>31</v>
      </c>
    </row>
    <row r="70" spans="1:3" ht="25.5" x14ac:dyDescent="0.2">
      <c r="A70" s="14">
        <v>40210</v>
      </c>
      <c r="B70" s="18" t="s">
        <v>184</v>
      </c>
      <c r="C70" s="7" t="s">
        <v>31</v>
      </c>
    </row>
    <row r="71" spans="1:3" ht="25.5" x14ac:dyDescent="0.2">
      <c r="A71" s="14">
        <v>40306</v>
      </c>
      <c r="B71" s="18" t="s">
        <v>183</v>
      </c>
      <c r="C71" s="11" t="s">
        <v>173</v>
      </c>
    </row>
    <row r="72" spans="1:3" x14ac:dyDescent="0.2">
      <c r="A72" s="14">
        <v>40306</v>
      </c>
      <c r="B72" s="18" t="s">
        <v>182</v>
      </c>
      <c r="C72" s="11" t="s">
        <v>173</v>
      </c>
    </row>
    <row r="73" spans="1:3" ht="25.5" x14ac:dyDescent="0.2">
      <c r="A73" s="14">
        <v>40306</v>
      </c>
      <c r="B73" s="18" t="s">
        <v>181</v>
      </c>
      <c r="C73" s="11" t="s">
        <v>173</v>
      </c>
    </row>
    <row r="74" spans="1:3" x14ac:dyDescent="0.2">
      <c r="A74" s="14">
        <v>40310</v>
      </c>
      <c r="B74" s="18" t="s">
        <v>180</v>
      </c>
      <c r="C74" s="7" t="s">
        <v>173</v>
      </c>
    </row>
    <row r="75" spans="1:3" ht="25.5" x14ac:dyDescent="0.2">
      <c r="A75" s="14">
        <v>40310</v>
      </c>
      <c r="B75" s="18" t="s">
        <v>179</v>
      </c>
      <c r="C75" s="7" t="s">
        <v>173</v>
      </c>
    </row>
    <row r="76" spans="1:3" ht="25.5" x14ac:dyDescent="0.2">
      <c r="A76" s="14">
        <v>40310</v>
      </c>
      <c r="B76" s="18" t="s">
        <v>178</v>
      </c>
      <c r="C76" s="11" t="s">
        <v>173</v>
      </c>
    </row>
    <row r="77" spans="1:3" ht="25.5" x14ac:dyDescent="0.2">
      <c r="A77" s="14">
        <v>40372</v>
      </c>
      <c r="B77" s="18" t="s">
        <v>177</v>
      </c>
      <c r="C77" s="11" t="s">
        <v>173</v>
      </c>
    </row>
    <row r="78" spans="1:3" ht="38.25" x14ac:dyDescent="0.2">
      <c r="A78" s="14">
        <v>40386</v>
      </c>
      <c r="B78" s="18" t="s">
        <v>176</v>
      </c>
      <c r="C78" s="11" t="s">
        <v>173</v>
      </c>
    </row>
    <row r="79" spans="1:3" ht="25.5" x14ac:dyDescent="0.2">
      <c r="A79" s="14">
        <v>40387</v>
      </c>
      <c r="B79" s="18" t="s">
        <v>175</v>
      </c>
      <c r="C79" s="7" t="s">
        <v>173</v>
      </c>
    </row>
    <row r="80" spans="1:3" ht="25.5" x14ac:dyDescent="0.2">
      <c r="A80" s="14">
        <v>40388</v>
      </c>
      <c r="B80" s="18" t="s">
        <v>270</v>
      </c>
      <c r="C80" s="7" t="s">
        <v>173</v>
      </c>
    </row>
    <row r="81" spans="1:3" ht="15.75" customHeight="1" x14ac:dyDescent="0.2">
      <c r="A81" s="14">
        <v>40408</v>
      </c>
      <c r="B81" s="18" t="s">
        <v>269</v>
      </c>
      <c r="C81" s="21" t="s">
        <v>173</v>
      </c>
    </row>
    <row r="82" spans="1:3" ht="12.75" customHeight="1" x14ac:dyDescent="0.2">
      <c r="A82" s="14">
        <v>40408</v>
      </c>
      <c r="B82" s="18" t="s">
        <v>264</v>
      </c>
      <c r="C82" s="21" t="s">
        <v>173</v>
      </c>
    </row>
    <row r="83" spans="1:3" ht="25.5" x14ac:dyDescent="0.2">
      <c r="A83" s="14">
        <v>40408</v>
      </c>
      <c r="B83" s="18" t="s">
        <v>265</v>
      </c>
      <c r="C83" s="21" t="s">
        <v>173</v>
      </c>
    </row>
    <row r="84" spans="1:3" x14ac:dyDescent="0.2">
      <c r="A84" s="14">
        <v>40409</v>
      </c>
      <c r="B84" s="18" t="s">
        <v>266</v>
      </c>
      <c r="C84" s="7" t="s">
        <v>173</v>
      </c>
    </row>
    <row r="85" spans="1:3" x14ac:dyDescent="0.2">
      <c r="A85" s="14">
        <v>40409</v>
      </c>
      <c r="B85" s="22" t="s">
        <v>267</v>
      </c>
      <c r="C85" s="21" t="s">
        <v>173</v>
      </c>
    </row>
    <row r="86" spans="1:3" x14ac:dyDescent="0.2">
      <c r="A86" s="14">
        <v>40409</v>
      </c>
      <c r="B86" s="22" t="s">
        <v>276</v>
      </c>
      <c r="C86" s="21" t="s">
        <v>173</v>
      </c>
    </row>
    <row r="87" spans="1:3" x14ac:dyDescent="0.2">
      <c r="A87" s="23">
        <v>40409</v>
      </c>
      <c r="B87" s="22" t="s">
        <v>277</v>
      </c>
      <c r="C87" s="21" t="s">
        <v>173</v>
      </c>
    </row>
    <row r="88" spans="1:3" x14ac:dyDescent="0.2">
      <c r="A88" s="14">
        <v>40420</v>
      </c>
      <c r="B88" s="22" t="s">
        <v>278</v>
      </c>
      <c r="C88" s="7" t="s">
        <v>173</v>
      </c>
    </row>
    <row r="89" spans="1:3" ht="25.5" x14ac:dyDescent="0.2">
      <c r="A89" s="14">
        <v>40421</v>
      </c>
      <c r="B89" s="22" t="s">
        <v>279</v>
      </c>
      <c r="C89" s="7" t="s">
        <v>173</v>
      </c>
    </row>
    <row r="90" spans="1:3" ht="25.5" x14ac:dyDescent="0.2">
      <c r="A90" s="14">
        <v>40428</v>
      </c>
      <c r="B90" s="22" t="s">
        <v>282</v>
      </c>
      <c r="C90" s="7" t="s">
        <v>173</v>
      </c>
    </row>
    <row r="91" spans="1:3" ht="38.25" x14ac:dyDescent="0.2">
      <c r="A91" s="14">
        <v>40430</v>
      </c>
      <c r="B91" s="22" t="s">
        <v>284</v>
      </c>
      <c r="C91" s="7" t="s">
        <v>173</v>
      </c>
    </row>
    <row r="92" spans="1:3" x14ac:dyDescent="0.2">
      <c r="A92" s="14">
        <v>40438</v>
      </c>
      <c r="B92" s="22" t="s">
        <v>283</v>
      </c>
      <c r="C92" s="7" t="s">
        <v>173</v>
      </c>
    </row>
    <row r="93" spans="1:3" ht="25.5" x14ac:dyDescent="0.2">
      <c r="A93" s="14">
        <v>40438</v>
      </c>
      <c r="B93" s="22" t="s">
        <v>285</v>
      </c>
      <c r="C93" s="7" t="s">
        <v>173</v>
      </c>
    </row>
    <row r="94" spans="1:3" ht="153" x14ac:dyDescent="0.2">
      <c r="A94" s="14">
        <v>40569</v>
      </c>
      <c r="B94" s="22" t="s">
        <v>306</v>
      </c>
      <c r="C94" s="60" t="s">
        <v>31</v>
      </c>
    </row>
    <row r="95" spans="1:3" ht="51" x14ac:dyDescent="0.2">
      <c r="A95" s="14">
        <v>40569</v>
      </c>
      <c r="B95" s="22" t="s">
        <v>302</v>
      </c>
      <c r="C95" s="60" t="s">
        <v>31</v>
      </c>
    </row>
    <row r="96" spans="1:3" ht="114.75" x14ac:dyDescent="0.2">
      <c r="A96" s="14">
        <v>40567</v>
      </c>
      <c r="B96" s="22" t="s">
        <v>324</v>
      </c>
      <c r="C96" s="60" t="s">
        <v>31</v>
      </c>
    </row>
    <row r="97" spans="1:3" ht="38.25" x14ac:dyDescent="0.2">
      <c r="A97" s="14">
        <v>40564</v>
      </c>
      <c r="B97" s="61" t="s">
        <v>289</v>
      </c>
      <c r="C97" s="60" t="s">
        <v>31</v>
      </c>
    </row>
    <row r="98" spans="1:3" ht="25.5" x14ac:dyDescent="0.2">
      <c r="A98" s="14">
        <v>40564</v>
      </c>
      <c r="B98" s="22" t="s">
        <v>290</v>
      </c>
      <c r="C98" s="60" t="s">
        <v>31</v>
      </c>
    </row>
    <row r="99" spans="1:3" ht="25.5" x14ac:dyDescent="0.2">
      <c r="A99" s="14">
        <v>40564</v>
      </c>
      <c r="B99" s="22" t="s">
        <v>300</v>
      </c>
      <c r="C99" s="60" t="s">
        <v>31</v>
      </c>
    </row>
    <row r="100" spans="1:3" ht="25.5" x14ac:dyDescent="0.2">
      <c r="A100" s="14">
        <v>40569</v>
      </c>
      <c r="B100" s="22" t="s">
        <v>307</v>
      </c>
      <c r="C100" s="60" t="s">
        <v>31</v>
      </c>
    </row>
    <row r="101" spans="1:3" ht="51" x14ac:dyDescent="0.2">
      <c r="A101" s="14">
        <v>40569</v>
      </c>
      <c r="B101" s="22" t="s">
        <v>329</v>
      </c>
      <c r="C101" s="60" t="s">
        <v>31</v>
      </c>
    </row>
    <row r="102" spans="1:3" ht="25.5" x14ac:dyDescent="0.2">
      <c r="A102" s="14">
        <v>40569</v>
      </c>
      <c r="B102" s="22" t="s">
        <v>328</v>
      </c>
      <c r="C102" s="60" t="s">
        <v>31</v>
      </c>
    </row>
    <row r="103" spans="1:3" ht="25.5" x14ac:dyDescent="0.2">
      <c r="A103" s="14">
        <v>40569</v>
      </c>
      <c r="B103" s="22" t="s">
        <v>303</v>
      </c>
      <c r="C103" s="60" t="s">
        <v>31</v>
      </c>
    </row>
    <row r="104" spans="1:3" ht="25.5" x14ac:dyDescent="0.2">
      <c r="A104" s="14">
        <v>40569</v>
      </c>
      <c r="B104" s="22" t="s">
        <v>304</v>
      </c>
      <c r="C104" s="60" t="s">
        <v>31</v>
      </c>
    </row>
    <row r="105" spans="1:3" ht="38.25" x14ac:dyDescent="0.2">
      <c r="A105" s="14">
        <v>40569</v>
      </c>
      <c r="B105" s="22" t="s">
        <v>308</v>
      </c>
      <c r="C105" s="60" t="s">
        <v>31</v>
      </c>
    </row>
    <row r="106" spans="1:3" ht="25.5" x14ac:dyDescent="0.2">
      <c r="A106" s="14">
        <v>40564</v>
      </c>
      <c r="B106" s="22" t="s">
        <v>292</v>
      </c>
      <c r="C106" s="7" t="s">
        <v>31</v>
      </c>
    </row>
    <row r="107" spans="1:3" ht="25.5" x14ac:dyDescent="0.2">
      <c r="A107" s="14">
        <v>40569</v>
      </c>
      <c r="B107" s="22" t="s">
        <v>301</v>
      </c>
      <c r="C107" s="60" t="s">
        <v>31</v>
      </c>
    </row>
    <row r="108" spans="1:3" ht="25.5" x14ac:dyDescent="0.2">
      <c r="A108" s="14">
        <v>40473</v>
      </c>
      <c r="B108" s="22" t="s">
        <v>295</v>
      </c>
      <c r="C108" s="60" t="s">
        <v>286</v>
      </c>
    </row>
    <row r="109" spans="1:3" ht="38.25" x14ac:dyDescent="0.2">
      <c r="A109" s="14">
        <v>40473</v>
      </c>
      <c r="B109" s="22" t="s">
        <v>294</v>
      </c>
      <c r="C109" s="60" t="s">
        <v>286</v>
      </c>
    </row>
    <row r="110" spans="1:3" ht="38.25" x14ac:dyDescent="0.2">
      <c r="A110" s="14">
        <v>40564</v>
      </c>
      <c r="B110" s="22" t="s">
        <v>298</v>
      </c>
      <c r="C110" s="60" t="s">
        <v>31</v>
      </c>
    </row>
    <row r="111" spans="1:3" ht="25.5" x14ac:dyDescent="0.2">
      <c r="A111" s="14">
        <v>40564</v>
      </c>
      <c r="B111" s="22" t="s">
        <v>326</v>
      </c>
      <c r="C111" s="60" t="s">
        <v>31</v>
      </c>
    </row>
    <row r="112" spans="1:3" ht="25.5" x14ac:dyDescent="0.2">
      <c r="A112" s="14">
        <v>40569</v>
      </c>
      <c r="B112" s="22" t="s">
        <v>305</v>
      </c>
      <c r="C112" s="60" t="s">
        <v>31</v>
      </c>
    </row>
    <row r="113" spans="1:3" ht="51" x14ac:dyDescent="0.2">
      <c r="A113" s="14">
        <v>40569</v>
      </c>
      <c r="B113" s="22" t="s">
        <v>325</v>
      </c>
      <c r="C113" s="60" t="s">
        <v>31</v>
      </c>
    </row>
    <row r="114" spans="1:3" ht="25.5" x14ac:dyDescent="0.2">
      <c r="A114" s="14">
        <v>40473</v>
      </c>
      <c r="B114" s="22" t="s">
        <v>297</v>
      </c>
      <c r="C114" s="60" t="s">
        <v>286</v>
      </c>
    </row>
    <row r="115" spans="1:3" ht="25.5" x14ac:dyDescent="0.2">
      <c r="A115" s="14">
        <v>40564</v>
      </c>
      <c r="B115" s="22" t="s">
        <v>291</v>
      </c>
      <c r="C115" s="60" t="s">
        <v>31</v>
      </c>
    </row>
    <row r="116" spans="1:3" ht="38.25" x14ac:dyDescent="0.2">
      <c r="A116" s="14">
        <v>40473</v>
      </c>
      <c r="B116" s="22" t="s">
        <v>296</v>
      </c>
      <c r="C116" s="60" t="s">
        <v>286</v>
      </c>
    </row>
    <row r="117" spans="1:3" ht="51" x14ac:dyDescent="0.2">
      <c r="A117" s="14">
        <v>40564</v>
      </c>
      <c r="B117" s="22" t="s">
        <v>299</v>
      </c>
      <c r="C117" s="60" t="s">
        <v>31</v>
      </c>
    </row>
    <row r="118" spans="1:3" ht="25.5" x14ac:dyDescent="0.2">
      <c r="A118" s="14">
        <v>40473</v>
      </c>
      <c r="B118" s="22" t="s">
        <v>293</v>
      </c>
      <c r="C118" s="60" t="s">
        <v>286</v>
      </c>
    </row>
    <row r="119" spans="1:3" x14ac:dyDescent="0.2">
      <c r="A119" s="62">
        <v>40592</v>
      </c>
      <c r="B119" s="63" t="s">
        <v>356</v>
      </c>
      <c r="C119" s="64" t="s">
        <v>31</v>
      </c>
    </row>
    <row r="120" spans="1:3" ht="25.5" x14ac:dyDescent="0.2">
      <c r="A120" s="14">
        <v>40604</v>
      </c>
      <c r="B120" s="22" t="s">
        <v>362</v>
      </c>
      <c r="C120" s="7" t="s">
        <v>31</v>
      </c>
    </row>
    <row r="121" spans="1:3" x14ac:dyDescent="0.2">
      <c r="A121" s="62">
        <v>40612</v>
      </c>
      <c r="B121" s="22" t="s">
        <v>366</v>
      </c>
      <c r="C121" s="65" t="s">
        <v>363</v>
      </c>
    </row>
    <row r="122" spans="1:3" ht="25.5" x14ac:dyDescent="0.2">
      <c r="A122" s="62">
        <v>40612</v>
      </c>
      <c r="B122" s="22" t="s">
        <v>367</v>
      </c>
      <c r="C122" s="65" t="s">
        <v>363</v>
      </c>
    </row>
    <row r="123" spans="1:3" ht="25.5" x14ac:dyDescent="0.2">
      <c r="A123" s="62">
        <v>40612</v>
      </c>
      <c r="B123" s="22" t="s">
        <v>368</v>
      </c>
      <c r="C123" s="65" t="s">
        <v>363</v>
      </c>
    </row>
    <row r="124" spans="1:3" ht="51" x14ac:dyDescent="0.2">
      <c r="A124" s="62">
        <v>40613</v>
      </c>
      <c r="B124" s="66" t="s">
        <v>369</v>
      </c>
      <c r="C124" s="63" t="s">
        <v>31</v>
      </c>
    </row>
    <row r="125" spans="1:3" ht="63.75" x14ac:dyDescent="0.2">
      <c r="A125" s="62">
        <v>40625</v>
      </c>
      <c r="B125" s="66" t="s">
        <v>370</v>
      </c>
      <c r="C125" s="63" t="s">
        <v>31</v>
      </c>
    </row>
    <row r="126" spans="1:3" ht="25.5" x14ac:dyDescent="0.2">
      <c r="A126" s="62">
        <v>40676</v>
      </c>
      <c r="B126" s="66" t="s">
        <v>371</v>
      </c>
      <c r="C126" s="63" t="s">
        <v>31</v>
      </c>
    </row>
    <row r="127" spans="1:3" ht="79.5" customHeight="1" x14ac:dyDescent="0.2">
      <c r="A127" s="14">
        <v>40689</v>
      </c>
      <c r="B127" s="22" t="s">
        <v>372</v>
      </c>
      <c r="C127" s="60" t="s">
        <v>31</v>
      </c>
    </row>
    <row r="128" spans="1:3" ht="51" x14ac:dyDescent="0.2">
      <c r="A128" s="14">
        <v>40757</v>
      </c>
      <c r="B128" s="22" t="s">
        <v>375</v>
      </c>
      <c r="C128" s="60" t="s">
        <v>31</v>
      </c>
    </row>
    <row r="129" spans="1:3" ht="38.25" x14ac:dyDescent="0.2">
      <c r="A129" s="14">
        <v>40781</v>
      </c>
      <c r="B129" s="22" t="s">
        <v>383</v>
      </c>
      <c r="C129" s="7" t="s">
        <v>31</v>
      </c>
    </row>
    <row r="130" spans="1:3" ht="38.25" x14ac:dyDescent="0.2">
      <c r="A130" s="14">
        <v>40781</v>
      </c>
      <c r="B130" s="22" t="s">
        <v>382</v>
      </c>
      <c r="C130" s="7" t="s">
        <v>31</v>
      </c>
    </row>
    <row r="131" spans="1:3" ht="25.5" x14ac:dyDescent="0.2">
      <c r="A131" s="14">
        <v>40799</v>
      </c>
      <c r="B131" s="22" t="s">
        <v>384</v>
      </c>
      <c r="C131" s="60" t="s">
        <v>31</v>
      </c>
    </row>
    <row r="132" spans="1:3" ht="63.75" x14ac:dyDescent="0.2">
      <c r="A132" s="14">
        <v>40799</v>
      </c>
      <c r="B132" s="22" t="s">
        <v>385</v>
      </c>
      <c r="C132" s="60" t="s">
        <v>31</v>
      </c>
    </row>
    <row r="133" spans="1:3" ht="25.5" x14ac:dyDescent="0.2">
      <c r="A133" s="14">
        <v>40799</v>
      </c>
      <c r="B133" s="22" t="s">
        <v>386</v>
      </c>
      <c r="C133" s="60" t="s">
        <v>31</v>
      </c>
    </row>
    <row r="134" spans="1:3" ht="51" x14ac:dyDescent="0.2">
      <c r="A134" s="14">
        <v>40876</v>
      </c>
      <c r="B134" s="22" t="s">
        <v>390</v>
      </c>
      <c r="C134" s="60" t="s">
        <v>173</v>
      </c>
    </row>
    <row r="135" spans="1:3" ht="36.75" customHeight="1" x14ac:dyDescent="0.2">
      <c r="A135" s="14">
        <v>40913</v>
      </c>
      <c r="B135" s="22" t="s">
        <v>407</v>
      </c>
      <c r="C135" s="7" t="s">
        <v>31</v>
      </c>
    </row>
    <row r="136" spans="1:3" ht="44.25" customHeight="1" x14ac:dyDescent="0.2">
      <c r="A136" s="14">
        <v>40913</v>
      </c>
      <c r="B136" s="22" t="s">
        <v>474</v>
      </c>
      <c r="C136" s="7" t="s">
        <v>31</v>
      </c>
    </row>
    <row r="137" spans="1:3" ht="26.25" customHeight="1" x14ac:dyDescent="0.2">
      <c r="A137" s="14">
        <v>40913</v>
      </c>
      <c r="B137" s="22" t="s">
        <v>480</v>
      </c>
      <c r="C137" s="7" t="s">
        <v>31</v>
      </c>
    </row>
    <row r="138" spans="1:3" ht="26.25" customHeight="1" x14ac:dyDescent="0.2">
      <c r="A138" s="14">
        <v>40913</v>
      </c>
      <c r="B138" s="22" t="s">
        <v>471</v>
      </c>
      <c r="C138" s="7" t="s">
        <v>31</v>
      </c>
    </row>
    <row r="139" spans="1:3" ht="69" customHeight="1" x14ac:dyDescent="0.2">
      <c r="A139" s="14">
        <v>40913</v>
      </c>
      <c r="B139" s="22" t="s">
        <v>472</v>
      </c>
      <c r="C139" s="7" t="s">
        <v>31</v>
      </c>
    </row>
    <row r="140" spans="1:3" ht="25.5" customHeight="1" x14ac:dyDescent="0.2">
      <c r="A140" s="14">
        <v>40913</v>
      </c>
      <c r="B140" s="22" t="s">
        <v>408</v>
      </c>
      <c r="C140" s="7" t="s">
        <v>31</v>
      </c>
    </row>
    <row r="141" spans="1:3" ht="58.5" customHeight="1" x14ac:dyDescent="0.2">
      <c r="A141" s="14">
        <v>40913</v>
      </c>
      <c r="B141" s="69" t="s">
        <v>409</v>
      </c>
      <c r="C141" s="7" t="s">
        <v>31</v>
      </c>
    </row>
    <row r="142" spans="1:3" ht="57" customHeight="1" x14ac:dyDescent="0.2">
      <c r="A142" s="14">
        <v>40913</v>
      </c>
      <c r="B142" s="22" t="s">
        <v>410</v>
      </c>
      <c r="C142" s="7" t="s">
        <v>31</v>
      </c>
    </row>
    <row r="143" spans="1:3" ht="48.75" customHeight="1" x14ac:dyDescent="0.2">
      <c r="A143" s="14">
        <v>40913</v>
      </c>
      <c r="B143" s="22" t="s">
        <v>411</v>
      </c>
      <c r="C143" s="7" t="s">
        <v>31</v>
      </c>
    </row>
    <row r="144" spans="1:3" ht="42" customHeight="1" x14ac:dyDescent="0.2">
      <c r="A144" s="14">
        <v>40913</v>
      </c>
      <c r="B144" s="22" t="s">
        <v>412</v>
      </c>
      <c r="C144" s="7" t="s">
        <v>31</v>
      </c>
    </row>
    <row r="145" spans="1:3" ht="57.75" customHeight="1" x14ac:dyDescent="0.2">
      <c r="A145" s="14">
        <v>40913</v>
      </c>
      <c r="B145" s="22" t="s">
        <v>413</v>
      </c>
      <c r="C145" s="7" t="s">
        <v>31</v>
      </c>
    </row>
    <row r="146" spans="1:3" ht="47.25" customHeight="1" x14ac:dyDescent="0.2">
      <c r="A146" s="14">
        <v>40913</v>
      </c>
      <c r="B146" s="22" t="s">
        <v>470</v>
      </c>
      <c r="C146" s="7" t="s">
        <v>31</v>
      </c>
    </row>
    <row r="147" spans="1:3" ht="47.25" customHeight="1" x14ac:dyDescent="0.2">
      <c r="A147" s="14">
        <v>40913</v>
      </c>
      <c r="B147" s="22" t="s">
        <v>468</v>
      </c>
      <c r="C147" s="7" t="s">
        <v>31</v>
      </c>
    </row>
    <row r="148" spans="1:3" ht="47.25" customHeight="1" x14ac:dyDescent="0.2">
      <c r="A148" s="14">
        <v>40913</v>
      </c>
      <c r="B148" s="22" t="s">
        <v>414</v>
      </c>
      <c r="C148" s="7" t="s">
        <v>31</v>
      </c>
    </row>
    <row r="149" spans="1:3" ht="42.75" customHeight="1" x14ac:dyDescent="0.2">
      <c r="A149" s="14">
        <v>40913</v>
      </c>
      <c r="B149" s="22" t="s">
        <v>415</v>
      </c>
      <c r="C149" s="7" t="s">
        <v>31</v>
      </c>
    </row>
    <row r="150" spans="1:3" ht="42.75" customHeight="1" x14ac:dyDescent="0.2">
      <c r="A150" s="14">
        <v>40913</v>
      </c>
      <c r="B150" s="61" t="s">
        <v>475</v>
      </c>
      <c r="C150" s="7" t="s">
        <v>31</v>
      </c>
    </row>
    <row r="151" spans="1:3" ht="42.75" customHeight="1" x14ac:dyDescent="0.2">
      <c r="A151" s="14">
        <v>40913</v>
      </c>
      <c r="B151" s="22" t="s">
        <v>424</v>
      </c>
      <c r="C151" s="7" t="s">
        <v>31</v>
      </c>
    </row>
    <row r="152" spans="1:3" ht="45" customHeight="1" x14ac:dyDescent="0.2">
      <c r="A152" s="14">
        <v>40913</v>
      </c>
      <c r="B152" s="70" t="s">
        <v>467</v>
      </c>
      <c r="C152" s="63" t="s">
        <v>31</v>
      </c>
    </row>
    <row r="153" spans="1:3" ht="57" customHeight="1" x14ac:dyDescent="0.2">
      <c r="A153" s="14">
        <v>40913</v>
      </c>
      <c r="B153" s="70" t="s">
        <v>466</v>
      </c>
      <c r="C153" s="63" t="s">
        <v>31</v>
      </c>
    </row>
    <row r="154" spans="1:3" ht="59.25" customHeight="1" x14ac:dyDescent="0.2">
      <c r="A154" s="14">
        <v>40913</v>
      </c>
      <c r="B154" s="70" t="s">
        <v>465</v>
      </c>
      <c r="C154" s="63" t="s">
        <v>31</v>
      </c>
    </row>
    <row r="155" spans="1:3" ht="59.25" customHeight="1" x14ac:dyDescent="0.2">
      <c r="A155" s="14">
        <v>40913</v>
      </c>
      <c r="B155" s="70" t="s">
        <v>476</v>
      </c>
      <c r="C155" s="63" t="s">
        <v>31</v>
      </c>
    </row>
    <row r="156" spans="1:3" ht="45" customHeight="1" x14ac:dyDescent="0.2">
      <c r="A156" s="14">
        <v>40913</v>
      </c>
      <c r="B156" s="70" t="s">
        <v>464</v>
      </c>
      <c r="C156" s="63" t="s">
        <v>31</v>
      </c>
    </row>
    <row r="157" spans="1:3" ht="42.75" customHeight="1" x14ac:dyDescent="0.2">
      <c r="A157" s="14">
        <v>40913</v>
      </c>
      <c r="B157" s="70" t="s">
        <v>463</v>
      </c>
      <c r="C157" s="63" t="s">
        <v>31</v>
      </c>
    </row>
    <row r="158" spans="1:3" ht="44.25" customHeight="1" x14ac:dyDescent="0.2">
      <c r="A158" s="14">
        <v>40913</v>
      </c>
      <c r="B158" s="70" t="s">
        <v>462</v>
      </c>
      <c r="C158" s="63" t="s">
        <v>31</v>
      </c>
    </row>
    <row r="159" spans="1:3" ht="45.75" customHeight="1" x14ac:dyDescent="0.2">
      <c r="A159" s="14">
        <v>40913</v>
      </c>
      <c r="B159" s="70" t="s">
        <v>461</v>
      </c>
      <c r="C159" s="63" t="s">
        <v>31</v>
      </c>
    </row>
    <row r="160" spans="1:3" ht="44.25" customHeight="1" x14ac:dyDescent="0.2">
      <c r="A160" s="14">
        <v>40913</v>
      </c>
      <c r="B160" s="70" t="s">
        <v>460</v>
      </c>
      <c r="C160" s="63" t="s">
        <v>31</v>
      </c>
    </row>
    <row r="161" spans="1:3" ht="46.5" customHeight="1" x14ac:dyDescent="0.2">
      <c r="A161" s="14">
        <v>40913</v>
      </c>
      <c r="B161" s="70" t="s">
        <v>459</v>
      </c>
      <c r="C161" s="63" t="s">
        <v>31</v>
      </c>
    </row>
    <row r="162" spans="1:3" ht="38.25" x14ac:dyDescent="0.2">
      <c r="A162" s="14">
        <v>40913</v>
      </c>
      <c r="B162" s="70" t="s">
        <v>458</v>
      </c>
      <c r="C162" s="63" t="s">
        <v>31</v>
      </c>
    </row>
    <row r="163" spans="1:3" ht="38.25" x14ac:dyDescent="0.2">
      <c r="A163" s="14">
        <v>40913</v>
      </c>
      <c r="B163" s="70" t="s">
        <v>457</v>
      </c>
      <c r="C163" s="63" t="s">
        <v>31</v>
      </c>
    </row>
    <row r="164" spans="1:3" ht="38.25" x14ac:dyDescent="0.2">
      <c r="A164" s="14">
        <v>40913</v>
      </c>
      <c r="B164" s="70" t="s">
        <v>456</v>
      </c>
      <c r="C164" s="63" t="s">
        <v>31</v>
      </c>
    </row>
    <row r="165" spans="1:3" ht="38.25" x14ac:dyDescent="0.2">
      <c r="A165" s="14">
        <v>40913</v>
      </c>
      <c r="B165" s="70" t="s">
        <v>496</v>
      </c>
      <c r="C165" s="63" t="s">
        <v>31</v>
      </c>
    </row>
    <row r="166" spans="1:3" ht="38.25" x14ac:dyDescent="0.2">
      <c r="A166" s="14">
        <v>40913</v>
      </c>
      <c r="B166" s="70" t="s">
        <v>455</v>
      </c>
      <c r="C166" s="63" t="s">
        <v>31</v>
      </c>
    </row>
    <row r="167" spans="1:3" ht="38.25" x14ac:dyDescent="0.2">
      <c r="A167" s="14">
        <v>40913</v>
      </c>
      <c r="B167" s="70" t="s">
        <v>454</v>
      </c>
      <c r="C167" s="63" t="s">
        <v>31</v>
      </c>
    </row>
    <row r="168" spans="1:3" ht="38.25" x14ac:dyDescent="0.2">
      <c r="A168" s="14">
        <v>40913</v>
      </c>
      <c r="B168" s="70" t="s">
        <v>453</v>
      </c>
      <c r="C168" s="63" t="s">
        <v>31</v>
      </c>
    </row>
    <row r="169" spans="1:3" ht="38.25" x14ac:dyDescent="0.2">
      <c r="A169" s="14">
        <v>40913</v>
      </c>
      <c r="B169" s="22" t="s">
        <v>416</v>
      </c>
      <c r="C169" s="7" t="s">
        <v>31</v>
      </c>
    </row>
    <row r="170" spans="1:3" ht="38.25" x14ac:dyDescent="0.2">
      <c r="A170" s="14">
        <v>40913</v>
      </c>
      <c r="B170" s="66" t="s">
        <v>452</v>
      </c>
      <c r="C170" s="63" t="s">
        <v>31</v>
      </c>
    </row>
    <row r="171" spans="1:3" ht="38.25" x14ac:dyDescent="0.2">
      <c r="A171" s="14">
        <v>40913</v>
      </c>
      <c r="B171" s="66" t="s">
        <v>451</v>
      </c>
      <c r="C171" s="63" t="s">
        <v>31</v>
      </c>
    </row>
    <row r="172" spans="1:3" ht="51" x14ac:dyDescent="0.2">
      <c r="A172" s="14">
        <v>40913</v>
      </c>
      <c r="B172" s="66" t="s">
        <v>450</v>
      </c>
      <c r="C172" s="63" t="s">
        <v>31</v>
      </c>
    </row>
    <row r="173" spans="1:3" ht="51" x14ac:dyDescent="0.2">
      <c r="A173" s="14">
        <v>40913</v>
      </c>
      <c r="B173" s="66" t="s">
        <v>449</v>
      </c>
      <c r="C173" s="63" t="s">
        <v>31</v>
      </c>
    </row>
    <row r="174" spans="1:3" ht="51" x14ac:dyDescent="0.2">
      <c r="A174" s="14">
        <v>40913</v>
      </c>
      <c r="B174" s="22" t="s">
        <v>417</v>
      </c>
      <c r="C174" s="7" t="s">
        <v>31</v>
      </c>
    </row>
    <row r="175" spans="1:3" ht="51" x14ac:dyDescent="0.2">
      <c r="A175" s="14">
        <v>40913</v>
      </c>
      <c r="B175" s="22" t="s">
        <v>418</v>
      </c>
      <c r="C175" s="7" t="s">
        <v>31</v>
      </c>
    </row>
    <row r="176" spans="1:3" ht="51" x14ac:dyDescent="0.2">
      <c r="A176" s="14">
        <v>40913</v>
      </c>
      <c r="B176" s="22" t="s">
        <v>419</v>
      </c>
      <c r="C176" s="7" t="s">
        <v>31</v>
      </c>
    </row>
    <row r="177" spans="1:3" ht="51" x14ac:dyDescent="0.2">
      <c r="A177" s="14">
        <v>40913</v>
      </c>
      <c r="B177" s="22" t="s">
        <v>420</v>
      </c>
      <c r="C177" s="7" t="s">
        <v>31</v>
      </c>
    </row>
    <row r="178" spans="1:3" ht="51" x14ac:dyDescent="0.2">
      <c r="A178" s="14">
        <v>40913</v>
      </c>
      <c r="B178" s="69" t="s">
        <v>421</v>
      </c>
      <c r="C178" s="7" t="s">
        <v>31</v>
      </c>
    </row>
    <row r="179" spans="1:3" ht="51" x14ac:dyDescent="0.2">
      <c r="A179" s="14">
        <v>40913</v>
      </c>
      <c r="B179" s="66" t="s">
        <v>445</v>
      </c>
      <c r="C179" s="63" t="s">
        <v>31</v>
      </c>
    </row>
    <row r="180" spans="1:3" ht="51" x14ac:dyDescent="0.2">
      <c r="A180" s="14">
        <v>40913</v>
      </c>
      <c r="B180" s="66" t="s">
        <v>446</v>
      </c>
      <c r="C180" s="63" t="s">
        <v>31</v>
      </c>
    </row>
    <row r="181" spans="1:3" ht="51" x14ac:dyDescent="0.2">
      <c r="A181" s="14">
        <v>40913</v>
      </c>
      <c r="B181" s="66" t="s">
        <v>448</v>
      </c>
      <c r="C181" s="63" t="s">
        <v>31</v>
      </c>
    </row>
    <row r="182" spans="1:3" ht="51" x14ac:dyDescent="0.2">
      <c r="A182" s="14">
        <v>40913</v>
      </c>
      <c r="B182" s="66" t="s">
        <v>447</v>
      </c>
      <c r="C182" s="63" t="s">
        <v>31</v>
      </c>
    </row>
    <row r="183" spans="1:3" ht="51" x14ac:dyDescent="0.2">
      <c r="A183" s="14">
        <v>40913</v>
      </c>
      <c r="B183" s="69" t="s">
        <v>493</v>
      </c>
      <c r="C183" s="7" t="s">
        <v>31</v>
      </c>
    </row>
    <row r="184" spans="1:3" ht="51" x14ac:dyDescent="0.2">
      <c r="A184" s="14">
        <v>40913</v>
      </c>
      <c r="B184" s="69" t="s">
        <v>494</v>
      </c>
      <c r="C184" s="7" t="s">
        <v>31</v>
      </c>
    </row>
    <row r="185" spans="1:3" ht="51" x14ac:dyDescent="0.2">
      <c r="A185" s="14">
        <v>40913</v>
      </c>
      <c r="B185" s="69" t="s">
        <v>422</v>
      </c>
      <c r="C185" s="7" t="s">
        <v>31</v>
      </c>
    </row>
    <row r="186" spans="1:3" ht="51" x14ac:dyDescent="0.2">
      <c r="A186" s="14">
        <v>40913</v>
      </c>
      <c r="B186" s="69" t="s">
        <v>423</v>
      </c>
      <c r="C186" s="7" t="s">
        <v>31</v>
      </c>
    </row>
    <row r="187" spans="1:3" ht="76.5" x14ac:dyDescent="0.2">
      <c r="A187" s="14">
        <v>40945</v>
      </c>
      <c r="B187" s="69" t="s">
        <v>495</v>
      </c>
      <c r="C187" s="7" t="s">
        <v>31</v>
      </c>
    </row>
    <row r="188" spans="1:3" ht="51" x14ac:dyDescent="0.2">
      <c r="A188" s="14">
        <v>40945</v>
      </c>
      <c r="B188" s="71" t="s">
        <v>483</v>
      </c>
      <c r="C188" s="7" t="s">
        <v>31</v>
      </c>
    </row>
    <row r="189" spans="1:3" ht="25.5" x14ac:dyDescent="0.2">
      <c r="A189" s="14">
        <v>40960</v>
      </c>
      <c r="B189" s="22" t="s">
        <v>484</v>
      </c>
      <c r="C189" s="60" t="s">
        <v>31</v>
      </c>
    </row>
    <row r="190" spans="1:3" ht="85.5" customHeight="1" x14ac:dyDescent="0.2">
      <c r="A190" s="14">
        <v>41003</v>
      </c>
      <c r="B190" s="69" t="s">
        <v>501</v>
      </c>
      <c r="C190" s="7" t="s">
        <v>31</v>
      </c>
    </row>
    <row r="191" spans="1:3" ht="38.25" x14ac:dyDescent="0.2">
      <c r="A191" s="14">
        <v>41066</v>
      </c>
      <c r="B191" s="22" t="s">
        <v>500</v>
      </c>
      <c r="C191" s="7" t="s">
        <v>31</v>
      </c>
    </row>
    <row r="192" spans="1:3" ht="25.5" x14ac:dyDescent="0.2">
      <c r="A192" s="14">
        <v>41025</v>
      </c>
      <c r="B192" s="22" t="s">
        <v>497</v>
      </c>
      <c r="C192" s="7" t="s">
        <v>498</v>
      </c>
    </row>
    <row r="193" spans="1:3" ht="38.25" x14ac:dyDescent="0.2">
      <c r="A193" s="14">
        <v>41039</v>
      </c>
      <c r="B193" s="22" t="s">
        <v>499</v>
      </c>
      <c r="C193" s="60" t="s">
        <v>31</v>
      </c>
    </row>
    <row r="194" spans="1:3" ht="38.25" x14ac:dyDescent="0.2">
      <c r="A194" s="74">
        <v>41066</v>
      </c>
      <c r="B194" s="75" t="s">
        <v>502</v>
      </c>
      <c r="C194" s="76" t="s">
        <v>31</v>
      </c>
    </row>
    <row r="195" spans="1:3" ht="51" x14ac:dyDescent="0.2">
      <c r="A195" s="74">
        <v>41067</v>
      </c>
      <c r="B195" s="75" t="s">
        <v>505</v>
      </c>
      <c r="C195" s="77" t="s">
        <v>363</v>
      </c>
    </row>
    <row r="196" spans="1:3" ht="38.25" x14ac:dyDescent="0.2">
      <c r="A196" s="74">
        <v>41067</v>
      </c>
      <c r="B196" s="78" t="s">
        <v>503</v>
      </c>
      <c r="C196" s="77" t="s">
        <v>363</v>
      </c>
    </row>
    <row r="197" spans="1:3" ht="51" x14ac:dyDescent="0.2">
      <c r="A197" s="74">
        <v>41067</v>
      </c>
      <c r="B197" s="78" t="s">
        <v>504</v>
      </c>
      <c r="C197" s="77" t="s">
        <v>363</v>
      </c>
    </row>
    <row r="198" spans="1:3" ht="38.25" x14ac:dyDescent="0.2">
      <c r="A198" s="14">
        <v>41128</v>
      </c>
      <c r="B198" s="61" t="s">
        <v>531</v>
      </c>
      <c r="C198" s="60" t="s">
        <v>529</v>
      </c>
    </row>
    <row r="199" spans="1:3" ht="25.5" x14ac:dyDescent="0.2">
      <c r="A199" s="14">
        <v>41128</v>
      </c>
      <c r="B199" s="61" t="s">
        <v>530</v>
      </c>
      <c r="C199" s="60" t="s">
        <v>529</v>
      </c>
    </row>
    <row r="200" spans="1:3" ht="63.75" x14ac:dyDescent="0.2">
      <c r="A200" s="14">
        <v>41143</v>
      </c>
      <c r="B200" s="70" t="s">
        <v>532</v>
      </c>
      <c r="C200" s="7" t="s">
        <v>31</v>
      </c>
    </row>
    <row r="201" spans="1:3" ht="51" x14ac:dyDescent="0.2">
      <c r="A201" s="14">
        <v>41143</v>
      </c>
      <c r="B201" s="22" t="s">
        <v>533</v>
      </c>
      <c r="C201" s="60" t="s">
        <v>31</v>
      </c>
    </row>
    <row r="202" spans="1:3" ht="25.5" x14ac:dyDescent="0.2">
      <c r="A202" s="14">
        <v>41178</v>
      </c>
      <c r="B202" s="22" t="s">
        <v>535</v>
      </c>
      <c r="C202" s="7" t="s">
        <v>31</v>
      </c>
    </row>
    <row r="203" spans="1:3" ht="63.75" x14ac:dyDescent="0.2">
      <c r="A203" s="14">
        <v>41284</v>
      </c>
      <c r="B203" s="79" t="s">
        <v>563</v>
      </c>
      <c r="C203" s="7" t="s">
        <v>31</v>
      </c>
    </row>
    <row r="204" spans="1:3" ht="25.5" x14ac:dyDescent="0.2">
      <c r="A204" s="14">
        <v>41313</v>
      </c>
      <c r="B204" s="79" t="s">
        <v>585</v>
      </c>
      <c r="C204" s="7" t="s">
        <v>31</v>
      </c>
    </row>
    <row r="205" spans="1:3" ht="25.5" x14ac:dyDescent="0.2">
      <c r="A205" s="14">
        <v>41284</v>
      </c>
      <c r="B205" s="66" t="s">
        <v>571</v>
      </c>
      <c r="C205" s="60" t="s">
        <v>31</v>
      </c>
    </row>
    <row r="206" spans="1:3" ht="282" customHeight="1" x14ac:dyDescent="0.2">
      <c r="A206" s="14">
        <v>41284</v>
      </c>
      <c r="B206" s="66" t="s">
        <v>584</v>
      </c>
      <c r="C206" s="7" t="s">
        <v>31</v>
      </c>
    </row>
    <row r="207" spans="1:3" ht="311.25" customHeight="1" x14ac:dyDescent="0.2">
      <c r="A207" s="14">
        <v>41284</v>
      </c>
      <c r="B207" s="22" t="s">
        <v>553</v>
      </c>
      <c r="C207" s="7" t="s">
        <v>31</v>
      </c>
    </row>
    <row r="208" spans="1:3" ht="38.25" x14ac:dyDescent="0.2">
      <c r="A208" s="14">
        <v>41284</v>
      </c>
      <c r="B208" s="79" t="s">
        <v>572</v>
      </c>
      <c r="C208" s="7" t="s">
        <v>31</v>
      </c>
    </row>
    <row r="209" spans="1:3" ht="63.75" x14ac:dyDescent="0.2">
      <c r="A209" s="14">
        <v>41284</v>
      </c>
      <c r="B209" s="22" t="s">
        <v>573</v>
      </c>
      <c r="C209" s="7" t="s">
        <v>31</v>
      </c>
    </row>
    <row r="210" spans="1:3" ht="63.75" x14ac:dyDescent="0.2">
      <c r="A210" s="14">
        <v>41284</v>
      </c>
      <c r="B210" s="22" t="s">
        <v>600</v>
      </c>
      <c r="C210" s="7" t="s">
        <v>31</v>
      </c>
    </row>
    <row r="211" spans="1:3" ht="78.75" customHeight="1" x14ac:dyDescent="0.2">
      <c r="A211" s="14">
        <v>41284</v>
      </c>
      <c r="B211" s="22" t="s">
        <v>559</v>
      </c>
      <c r="C211" s="7" t="s">
        <v>31</v>
      </c>
    </row>
    <row r="212" spans="1:3" ht="76.5" x14ac:dyDescent="0.2">
      <c r="A212" s="14">
        <v>41296</v>
      </c>
      <c r="B212" s="22" t="s">
        <v>568</v>
      </c>
      <c r="C212" s="7" t="s">
        <v>31</v>
      </c>
    </row>
    <row r="213" spans="1:3" ht="89.25" x14ac:dyDescent="0.2">
      <c r="A213" s="14">
        <v>41284</v>
      </c>
      <c r="B213" s="85" t="s">
        <v>560</v>
      </c>
      <c r="C213" s="7" t="s">
        <v>31</v>
      </c>
    </row>
    <row r="214" spans="1:3" ht="78" customHeight="1" x14ac:dyDescent="0.2">
      <c r="A214" s="14">
        <v>41284</v>
      </c>
      <c r="B214" s="22" t="s">
        <v>579</v>
      </c>
      <c r="C214" s="7" t="s">
        <v>31</v>
      </c>
    </row>
    <row r="215" spans="1:3" ht="102" customHeight="1" x14ac:dyDescent="0.2">
      <c r="A215" s="14">
        <v>41284</v>
      </c>
      <c r="B215" s="22" t="s">
        <v>561</v>
      </c>
      <c r="C215" s="7" t="s">
        <v>31</v>
      </c>
    </row>
    <row r="216" spans="1:3" ht="51" customHeight="1" x14ac:dyDescent="0.2">
      <c r="A216" s="14">
        <v>41284</v>
      </c>
      <c r="B216" s="22" t="s">
        <v>562</v>
      </c>
      <c r="C216" s="7" t="s">
        <v>31</v>
      </c>
    </row>
    <row r="217" spans="1:3" ht="25.5" x14ac:dyDescent="0.2">
      <c r="A217" s="14">
        <v>41296</v>
      </c>
      <c r="B217" s="22" t="s">
        <v>574</v>
      </c>
      <c r="C217" s="7" t="s">
        <v>31</v>
      </c>
    </row>
    <row r="218" spans="1:3" ht="25.5" x14ac:dyDescent="0.2">
      <c r="A218" s="14">
        <v>41296</v>
      </c>
      <c r="B218" s="22" t="s">
        <v>575</v>
      </c>
      <c r="C218" s="7" t="s">
        <v>31</v>
      </c>
    </row>
    <row r="219" spans="1:3" ht="25.5" x14ac:dyDescent="0.2">
      <c r="A219" s="14">
        <v>41296</v>
      </c>
      <c r="B219" s="22" t="s">
        <v>576</v>
      </c>
      <c r="C219" s="7" t="s">
        <v>31</v>
      </c>
    </row>
    <row r="220" spans="1:3" ht="38.25" x14ac:dyDescent="0.2">
      <c r="A220" s="14">
        <v>41296</v>
      </c>
      <c r="B220" s="66" t="s">
        <v>577</v>
      </c>
      <c r="C220" s="7" t="s">
        <v>31</v>
      </c>
    </row>
    <row r="221" spans="1:3" ht="76.5" x14ac:dyDescent="0.2">
      <c r="A221" s="14">
        <v>41296</v>
      </c>
      <c r="B221" s="66" t="s">
        <v>570</v>
      </c>
      <c r="C221" s="7" t="s">
        <v>31</v>
      </c>
    </row>
    <row r="222" spans="1:3" ht="81.75" customHeight="1" x14ac:dyDescent="0.2">
      <c r="A222" s="14">
        <v>41284</v>
      </c>
      <c r="B222" s="79" t="s">
        <v>578</v>
      </c>
      <c r="C222" s="7" t="s">
        <v>31</v>
      </c>
    </row>
    <row r="223" spans="1:3" ht="51" x14ac:dyDescent="0.2">
      <c r="A223" s="14">
        <v>41284</v>
      </c>
      <c r="B223" s="22" t="s">
        <v>564</v>
      </c>
      <c r="C223" s="7" t="s">
        <v>31</v>
      </c>
    </row>
    <row r="224" spans="1:3" ht="128.25" customHeight="1" x14ac:dyDescent="0.2">
      <c r="A224" s="14">
        <v>41284</v>
      </c>
      <c r="B224" s="66" t="s">
        <v>569</v>
      </c>
      <c r="C224" s="7" t="s">
        <v>31</v>
      </c>
    </row>
    <row r="225" spans="1:3" ht="63.75" x14ac:dyDescent="0.2">
      <c r="A225" s="14">
        <v>41296</v>
      </c>
      <c r="B225" s="22" t="s">
        <v>586</v>
      </c>
      <c r="C225" s="7" t="s">
        <v>31</v>
      </c>
    </row>
    <row r="226" spans="1:3" ht="76.5" x14ac:dyDescent="0.2">
      <c r="A226" s="14">
        <v>41310</v>
      </c>
      <c r="B226" s="66" t="s">
        <v>583</v>
      </c>
      <c r="C226" s="7" t="s">
        <v>31</v>
      </c>
    </row>
    <row r="227" spans="1:3" ht="76.5" x14ac:dyDescent="0.2">
      <c r="A227" s="14">
        <v>41310</v>
      </c>
      <c r="B227" s="66" t="s">
        <v>582</v>
      </c>
      <c r="C227" s="7" t="s">
        <v>31</v>
      </c>
    </row>
    <row r="228" spans="1:3" ht="89.25" x14ac:dyDescent="0.2">
      <c r="A228" s="14">
        <v>41310</v>
      </c>
      <c r="B228" s="66" t="s">
        <v>581</v>
      </c>
      <c r="C228" s="7" t="s">
        <v>31</v>
      </c>
    </row>
    <row r="229" spans="1:3" ht="65.25" customHeight="1" x14ac:dyDescent="0.2">
      <c r="A229" s="14">
        <v>41388</v>
      </c>
      <c r="B229" s="66" t="s">
        <v>645</v>
      </c>
      <c r="C229" s="7" t="s">
        <v>31</v>
      </c>
    </row>
    <row r="230" spans="1:3" ht="52.5" customHeight="1" x14ac:dyDescent="0.2">
      <c r="A230" s="14">
        <v>41365</v>
      </c>
      <c r="B230" s="22" t="s">
        <v>636</v>
      </c>
      <c r="C230" s="7" t="s">
        <v>31</v>
      </c>
    </row>
    <row r="231" spans="1:3" x14ac:dyDescent="0.2">
      <c r="A231" s="14">
        <v>41365</v>
      </c>
      <c r="B231" s="22" t="s">
        <v>601</v>
      </c>
      <c r="C231" s="60" t="s">
        <v>31</v>
      </c>
    </row>
    <row r="232" spans="1:3" ht="38.25" x14ac:dyDescent="0.2">
      <c r="A232" s="14">
        <v>41365</v>
      </c>
      <c r="B232" s="22" t="s">
        <v>618</v>
      </c>
      <c r="C232" s="7" t="s">
        <v>31</v>
      </c>
    </row>
    <row r="233" spans="1:3" ht="38.25" x14ac:dyDescent="0.2">
      <c r="A233" s="14">
        <v>41374</v>
      </c>
      <c r="B233" s="22" t="s">
        <v>634</v>
      </c>
      <c r="C233" s="7" t="s">
        <v>31</v>
      </c>
    </row>
    <row r="234" spans="1:3" ht="25.5" x14ac:dyDescent="0.2">
      <c r="A234" s="14">
        <v>41374</v>
      </c>
      <c r="B234" s="22" t="s">
        <v>633</v>
      </c>
      <c r="C234" s="60" t="s">
        <v>31</v>
      </c>
    </row>
    <row r="235" spans="1:3" ht="38.25" x14ac:dyDescent="0.2">
      <c r="A235" s="14">
        <v>41424</v>
      </c>
      <c r="B235" s="88" t="s">
        <v>655</v>
      </c>
      <c r="C235" s="92" t="s">
        <v>31</v>
      </c>
    </row>
    <row r="236" spans="1:3" ht="89.25" x14ac:dyDescent="0.2">
      <c r="A236" s="14">
        <v>41424</v>
      </c>
      <c r="B236" s="88" t="s">
        <v>657</v>
      </c>
      <c r="C236" s="92" t="s">
        <v>31</v>
      </c>
    </row>
    <row r="237" spans="1:3" ht="25.5" x14ac:dyDescent="0.2">
      <c r="A237" s="14">
        <v>41424</v>
      </c>
      <c r="B237" s="22" t="s">
        <v>656</v>
      </c>
      <c r="C237" s="92" t="s">
        <v>31</v>
      </c>
    </row>
    <row r="238" spans="1:3" x14ac:dyDescent="0.2">
      <c r="A238" s="15">
        <v>41480</v>
      </c>
      <c r="B238" s="22" t="s">
        <v>658</v>
      </c>
      <c r="C238" s="95" t="s">
        <v>31</v>
      </c>
    </row>
    <row r="239" spans="1:3" x14ac:dyDescent="0.2">
      <c r="A239" s="62">
        <v>41570</v>
      </c>
      <c r="B239" s="66" t="s">
        <v>660</v>
      </c>
      <c r="C239" s="92" t="s">
        <v>31</v>
      </c>
    </row>
    <row r="240" spans="1:3" ht="63.75" x14ac:dyDescent="0.2">
      <c r="A240" s="62">
        <v>41655</v>
      </c>
      <c r="B240" s="66" t="s">
        <v>666</v>
      </c>
      <c r="C240" s="92" t="s">
        <v>31</v>
      </c>
    </row>
    <row r="241" spans="1:3" ht="38.25" x14ac:dyDescent="0.2">
      <c r="A241" s="14">
        <v>41570</v>
      </c>
      <c r="B241" s="22" t="s">
        <v>661</v>
      </c>
      <c r="C241" s="92" t="s">
        <v>31</v>
      </c>
    </row>
    <row r="242" spans="1:3" ht="38.25" x14ac:dyDescent="0.2">
      <c r="A242" s="62">
        <v>41570</v>
      </c>
      <c r="B242" s="22" t="s">
        <v>662</v>
      </c>
      <c r="C242" s="92" t="s">
        <v>31</v>
      </c>
    </row>
    <row r="243" spans="1:3" ht="25.5" x14ac:dyDescent="0.2">
      <c r="A243" s="62">
        <v>41570</v>
      </c>
      <c r="B243" s="66" t="s">
        <v>663</v>
      </c>
      <c r="C243" s="92" t="s">
        <v>31</v>
      </c>
    </row>
    <row r="244" spans="1:3" ht="38.25" x14ac:dyDescent="0.2">
      <c r="A244" s="62">
        <v>41677</v>
      </c>
      <c r="B244" s="93" t="s">
        <v>665</v>
      </c>
      <c r="C244" s="92" t="s">
        <v>31</v>
      </c>
    </row>
    <row r="245" spans="1:3" ht="63.75" x14ac:dyDescent="0.2">
      <c r="A245" s="62">
        <v>41694</v>
      </c>
      <c r="B245" s="66" t="s">
        <v>667</v>
      </c>
      <c r="C245" s="92" t="s">
        <v>31</v>
      </c>
    </row>
    <row r="246" spans="1:3" ht="36" customHeight="1" x14ac:dyDescent="0.2">
      <c r="A246" s="96">
        <v>41709</v>
      </c>
      <c r="B246" s="66" t="s">
        <v>672</v>
      </c>
      <c r="C246" s="92" t="s">
        <v>31</v>
      </c>
    </row>
    <row r="247" spans="1:3" ht="162" customHeight="1" x14ac:dyDescent="0.2">
      <c r="A247" s="62">
        <v>41716</v>
      </c>
      <c r="B247" s="22" t="s">
        <v>671</v>
      </c>
      <c r="C247" s="92" t="s">
        <v>31</v>
      </c>
    </row>
    <row r="248" spans="1:3" ht="159.75" customHeight="1" x14ac:dyDescent="0.2">
      <c r="A248" s="62">
        <v>41768</v>
      </c>
      <c r="B248" s="97" t="s">
        <v>673</v>
      </c>
      <c r="C248" s="63" t="s">
        <v>31</v>
      </c>
    </row>
    <row r="249" spans="1:3" x14ac:dyDescent="0.2">
      <c r="A249" s="98">
        <v>41773</v>
      </c>
      <c r="B249" s="99" t="s">
        <v>674</v>
      </c>
      <c r="C249" s="100" t="s">
        <v>31</v>
      </c>
    </row>
    <row r="250" spans="1:3" ht="38.25" x14ac:dyDescent="0.2">
      <c r="A250" s="62">
        <v>41834</v>
      </c>
      <c r="B250" s="61" t="s">
        <v>676</v>
      </c>
      <c r="C250" s="60" t="s">
        <v>529</v>
      </c>
    </row>
    <row r="251" spans="1:3" x14ac:dyDescent="0.2">
      <c r="A251" s="15">
        <v>41843</v>
      </c>
      <c r="B251" s="127" t="s">
        <v>678</v>
      </c>
      <c r="C251" s="128" t="s">
        <v>31</v>
      </c>
    </row>
    <row r="252" spans="1:3" ht="51" x14ac:dyDescent="0.2">
      <c r="A252" s="15">
        <v>41907</v>
      </c>
      <c r="B252" s="129" t="s">
        <v>733</v>
      </c>
      <c r="C252" s="128" t="s">
        <v>529</v>
      </c>
    </row>
    <row r="253" spans="1:3" ht="25.5" x14ac:dyDescent="0.2">
      <c r="A253" s="15">
        <v>42002</v>
      </c>
      <c r="B253" s="129" t="s">
        <v>747</v>
      </c>
      <c r="C253" s="128" t="s">
        <v>529</v>
      </c>
    </row>
    <row r="254" spans="1:3" ht="51" x14ac:dyDescent="0.2">
      <c r="A254" s="15">
        <v>41907</v>
      </c>
      <c r="B254" s="129" t="s">
        <v>734</v>
      </c>
      <c r="C254" s="128" t="s">
        <v>529</v>
      </c>
    </row>
    <row r="255" spans="1:3" ht="38.25" x14ac:dyDescent="0.2">
      <c r="A255" s="15">
        <v>41907</v>
      </c>
      <c r="B255" s="129" t="s">
        <v>735</v>
      </c>
      <c r="C255" s="128" t="s">
        <v>529</v>
      </c>
    </row>
    <row r="256" spans="1:3" ht="38.25" x14ac:dyDescent="0.2">
      <c r="A256" s="15">
        <v>42017</v>
      </c>
      <c r="B256" s="129" t="s">
        <v>749</v>
      </c>
      <c r="C256" s="128" t="s">
        <v>529</v>
      </c>
    </row>
    <row r="257" spans="1:3" ht="51" x14ac:dyDescent="0.2">
      <c r="A257" s="15">
        <v>41907</v>
      </c>
      <c r="B257" s="129" t="s">
        <v>736</v>
      </c>
      <c r="C257" s="128" t="s">
        <v>529</v>
      </c>
    </row>
    <row r="258" spans="1:3" ht="38.25" x14ac:dyDescent="0.2">
      <c r="A258" s="15">
        <v>41907</v>
      </c>
      <c r="B258" s="129" t="s">
        <v>737</v>
      </c>
      <c r="C258" s="128" t="s">
        <v>529</v>
      </c>
    </row>
    <row r="259" spans="1:3" ht="51" x14ac:dyDescent="0.2">
      <c r="A259" s="15">
        <v>41907</v>
      </c>
      <c r="B259" s="129" t="s">
        <v>738</v>
      </c>
      <c r="C259" s="128" t="s">
        <v>529</v>
      </c>
    </row>
    <row r="260" spans="1:3" ht="38.25" x14ac:dyDescent="0.2">
      <c r="A260" s="15">
        <v>41907</v>
      </c>
      <c r="B260" s="129" t="s">
        <v>739</v>
      </c>
      <c r="C260" s="128" t="s">
        <v>529</v>
      </c>
    </row>
    <row r="261" spans="1:3" ht="38.25" x14ac:dyDescent="0.2">
      <c r="A261" s="15">
        <v>41907</v>
      </c>
      <c r="B261" s="99" t="s">
        <v>741</v>
      </c>
      <c r="C261" s="128" t="s">
        <v>529</v>
      </c>
    </row>
    <row r="262" spans="1:3" ht="25.5" x14ac:dyDescent="0.2">
      <c r="A262" s="15">
        <v>41995</v>
      </c>
      <c r="B262" s="99" t="s">
        <v>745</v>
      </c>
      <c r="C262" s="128" t="s">
        <v>529</v>
      </c>
    </row>
    <row r="263" spans="1:3" ht="25.5" x14ac:dyDescent="0.2">
      <c r="A263" s="15">
        <v>42045</v>
      </c>
      <c r="B263" s="99" t="s">
        <v>751</v>
      </c>
      <c r="C263" s="128" t="s">
        <v>529</v>
      </c>
    </row>
    <row r="264" spans="1:3" ht="40.5" x14ac:dyDescent="0.2">
      <c r="A264" s="146">
        <v>42061</v>
      </c>
      <c r="B264" s="147" t="s">
        <v>757</v>
      </c>
      <c r="C264" s="128" t="s">
        <v>529</v>
      </c>
    </row>
    <row r="265" spans="1:3" ht="40.5" x14ac:dyDescent="0.2">
      <c r="A265" s="146">
        <v>42061</v>
      </c>
      <c r="B265" s="147" t="s">
        <v>758</v>
      </c>
      <c r="C265" s="128" t="s">
        <v>529</v>
      </c>
    </row>
  </sheetData>
  <mergeCells count="1">
    <mergeCell ref="A1:C1"/>
  </mergeCells>
  <phoneticPr fontId="13" type="noConversion"/>
  <pageMargins left="0.5" right="0.5" top="1" bottom="1" header="0.5" footer="0.5"/>
  <pageSetup orientation="portrait" r:id="rId1"/>
  <headerFooter alignWithMargins="0">
    <oddHeader>&amp;RLast Saved Date: 5/12/20102:31:12 PM</oddHeader>
    <oddFooter>&amp;RLast Saved Date: 7/23/2014 3:14:26 PM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8"/>
  <sheetViews>
    <sheetView workbookViewId="0">
      <selection activeCell="A15" sqref="A15"/>
    </sheetView>
  </sheetViews>
  <sheetFormatPr defaultRowHeight="12.75" x14ac:dyDescent="0.2"/>
  <cols>
    <col min="1" max="1" width="41.85546875" customWidth="1"/>
    <col min="2" max="2" width="34.85546875" customWidth="1"/>
    <col min="3" max="3" width="37.5703125" customWidth="1"/>
  </cols>
  <sheetData>
    <row r="1" spans="1:3" x14ac:dyDescent="0.2">
      <c r="A1" s="124" t="s">
        <v>627</v>
      </c>
      <c r="B1" s="124" t="s">
        <v>628</v>
      </c>
      <c r="C1" s="124" t="s">
        <v>629</v>
      </c>
    </row>
    <row r="2" spans="1:3" ht="25.5" x14ac:dyDescent="0.2">
      <c r="A2" s="97" t="s">
        <v>640</v>
      </c>
      <c r="B2" s="97" t="s">
        <v>638</v>
      </c>
      <c r="C2" s="122" t="s">
        <v>642</v>
      </c>
    </row>
    <row r="3" spans="1:3" ht="25.5" x14ac:dyDescent="0.2">
      <c r="A3" s="97" t="s">
        <v>641</v>
      </c>
      <c r="B3" s="97" t="s">
        <v>638</v>
      </c>
      <c r="C3" s="122" t="s">
        <v>642</v>
      </c>
    </row>
    <row r="4" spans="1:3" ht="38.25" x14ac:dyDescent="0.2">
      <c r="A4" s="97" t="s">
        <v>630</v>
      </c>
      <c r="B4" s="97" t="s">
        <v>638</v>
      </c>
      <c r="C4" s="122" t="s">
        <v>637</v>
      </c>
    </row>
    <row r="5" spans="1:3" ht="38.25" x14ac:dyDescent="0.2">
      <c r="A5" s="125" t="s">
        <v>632</v>
      </c>
      <c r="B5" s="125" t="s">
        <v>631</v>
      </c>
      <c r="C5" s="126" t="s">
        <v>639</v>
      </c>
    </row>
    <row r="6" spans="1:3" x14ac:dyDescent="0.2">
      <c r="A6" s="123"/>
      <c r="B6" s="123"/>
      <c r="C6" s="123"/>
    </row>
    <row r="7" spans="1:3" x14ac:dyDescent="0.2">
      <c r="A7" s="170" t="s">
        <v>643</v>
      </c>
      <c r="B7" s="174"/>
      <c r="C7" s="123"/>
    </row>
    <row r="8" spans="1:3" x14ac:dyDescent="0.2">
      <c r="A8" s="175" t="s">
        <v>644</v>
      </c>
      <c r="B8" s="175"/>
      <c r="C8" s="123"/>
    </row>
    <row r="9" spans="1:3" x14ac:dyDescent="0.2">
      <c r="A9" s="86"/>
      <c r="B9" s="86"/>
      <c r="C9" s="86"/>
    </row>
    <row r="10" spans="1:3" x14ac:dyDescent="0.2">
      <c r="A10" s="86"/>
      <c r="B10" s="86"/>
      <c r="C10" s="86"/>
    </row>
    <row r="11" spans="1:3" x14ac:dyDescent="0.2">
      <c r="A11" s="86"/>
      <c r="B11" s="86"/>
      <c r="C11" s="86"/>
    </row>
    <row r="12" spans="1:3" x14ac:dyDescent="0.2">
      <c r="A12" s="86"/>
      <c r="B12" s="86"/>
      <c r="C12" s="86"/>
    </row>
    <row r="13" spans="1:3" x14ac:dyDescent="0.2">
      <c r="A13" s="86"/>
      <c r="B13" s="86"/>
      <c r="C13" s="86"/>
    </row>
    <row r="14" spans="1:3" x14ac:dyDescent="0.2">
      <c r="A14" s="86"/>
      <c r="B14" s="86"/>
      <c r="C14" s="86"/>
    </row>
    <row r="15" spans="1:3" x14ac:dyDescent="0.2">
      <c r="A15" s="86"/>
      <c r="B15" s="86"/>
      <c r="C15" s="86"/>
    </row>
    <row r="16" spans="1:3" x14ac:dyDescent="0.2">
      <c r="A16" s="86"/>
      <c r="B16" s="86"/>
      <c r="C16" s="86"/>
    </row>
    <row r="17" spans="1:3" x14ac:dyDescent="0.2">
      <c r="A17" s="86"/>
      <c r="B17" s="86"/>
      <c r="C17" s="86"/>
    </row>
    <row r="18" spans="1:3" x14ac:dyDescent="0.2">
      <c r="A18" s="86"/>
      <c r="B18" s="86"/>
      <c r="C18" s="86"/>
    </row>
  </sheetData>
  <mergeCells count="2">
    <mergeCell ref="A7:B7"/>
    <mergeCell ref="A8:B8"/>
  </mergeCells>
  <hyperlinks>
    <hyperlink ref="C2" r:id="rId1"/>
    <hyperlink ref="C3" r:id="rId2"/>
    <hyperlink ref="C4" r:id="rId3" display="../Forms/AllItems.aspx"/>
    <hyperlink ref="C5" r:id="rId4" display="../Accountability"/>
  </hyperlinks>
  <pageMargins left="0.7" right="0.7" top="0.75" bottom="0.75" header="0.3" footer="0.3"/>
  <pageSetup orientation="landscape" r:id="rId5"/>
  <headerFooter>
    <oddFooter>&amp;RLast Saved Date: 10/24/2013 2:50:00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LAA2LDESTD</vt:lpstr>
      <vt:lpstr>Revision Log</vt:lpstr>
      <vt:lpstr>Reference Locations</vt:lpstr>
      <vt:lpstr>LAA2LDESTD!Print_Area</vt:lpstr>
      <vt:lpstr>'Reference Locations'!Print_Area</vt:lpstr>
      <vt:lpstr>LAA2LDESTD!Print_Titles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Mallory Johannes</cp:lastModifiedBy>
  <cp:lastPrinted>2014-09-25T21:25:23Z</cp:lastPrinted>
  <dcterms:created xsi:type="dcterms:W3CDTF">1999-04-08T16:47:24Z</dcterms:created>
  <dcterms:modified xsi:type="dcterms:W3CDTF">2015-02-26T19:22:09Z</dcterms:modified>
</cp:coreProperties>
</file>